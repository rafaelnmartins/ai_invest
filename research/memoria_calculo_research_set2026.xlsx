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Operações" sheetId="2" state="visible" r:id="rId4"/>
    <sheet name="Mês a mês" sheetId="3" state="visible" r:id="rId5"/>
    <sheet name="Por perfil" sheetId="4" state="visible" r:id="rId6"/>
    <sheet name="Sensibilida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sim = entrada feita com o IWM em baixa depois da ativação da regra: sizing 0, como no dashboard.</t>
        </r>
      </text>
    </comment>
  </commentList>
</comments>
</file>

<file path=xl/sharedStrings.xml><?xml version="1.0" encoding="utf-8"?>
<sst xmlns="http://schemas.openxmlformats.org/spreadsheetml/2006/main" count="1692" uniqueCount="325">
  <si>
    <t xml:space="preserve">Memória de cálculo — retorno de US$ 100.000 seguindo as recomendações</t>
  </si>
  <si>
    <t xml:space="preserve">Reproduz o cálculo do dashboard · período 12/01/2026 a 30/09/2026 · 319 operações</t>
  </si>
  <si>
    <t xml:space="preserve">Capital base (US$)</t>
  </si>
  <si>
    <t xml:space="preserve">← edite aqui: toda a planilha recalcula</t>
  </si>
  <si>
    <t xml:space="preserve">Regra de dimensionamento (piso de cada faixa, definido pelo Rafa)</t>
  </si>
  <si>
    <t xml:space="preserve">Perfil</t>
  </si>
  <si>
    <t xml:space="preserve">Critério</t>
  </si>
  <si>
    <t xml:space="preserve">Sizing</t>
  </si>
  <si>
    <t xml:space="preserve">MACDLE Premium</t>
  </si>
  <si>
    <t xml:space="preserve">MACDLE, ① CORE, Prob ≥70%, PF ≥1,51</t>
  </si>
  <si>
    <t xml:space="preserve">MACD</t>
  </si>
  <si>
    <t xml:space="preserve">MACDLE, CORE/CTRL, Prob ≥60%, PF 1,40–1,70</t>
  </si>
  <si>
    <t xml:space="preserve">MACDLE CTRL Regular</t>
  </si>
  <si>
    <t xml:space="preserve">MACDLE, ② CTRL, Prob 60–69%, PF 1,40–1,60</t>
  </si>
  <si>
    <t xml:space="preserve">CP v11 MEDIUM Melhor</t>
  </si>
  <si>
    <t xml:space="preserve">CP v11, ◆ MEDIUM, Score 55–64, PF ≥1,30</t>
  </si>
  <si>
    <t xml:space="preserve">CP v11 MEDIUM Normal</t>
  </si>
  <si>
    <t xml:space="preserve">CP v11, ◆ MEDIUM, Score ≥65, PF ≥1,30</t>
  </si>
  <si>
    <t xml:space="preserve">CP v11 STRONG Premium</t>
  </si>
  <si>
    <t xml:space="preserve">CP v11, ⬆ STRONG, Score ≥85, PF ≥2,00</t>
  </si>
  <si>
    <t xml:space="preserve">Cauteloso / PF ausente</t>
  </si>
  <si>
    <t xml:space="preserve">PF ausente, prob baixa ou sinal incompleto</t>
  </si>
  <si>
    <t xml:space="preserve">Evitar</t>
  </si>
  <si>
    <t xml:space="preserve">Regras mandam não operar</t>
  </si>
  <si>
    <t xml:space="preserve">Regras aplicadas (as mesmas do dashboard público)</t>
  </si>
  <si>
    <t xml:space="preserve">1. O perfil de cada operação vem da função classifyTradeProfile do worker — a mesma que o dashboard usa.</t>
  </si>
  <si>
    <t xml:space="preserve">2. O capital gira: cada operação usa seu % nominal sobre a base, independentemente de quantas estavam abertas.</t>
  </si>
  <si>
    <t xml:space="preserve">3. Resultado BRUTO: sem corretagem, sem slippage, sem impostos.</t>
  </si>
  <si>
    <t xml:space="preserve">4. Regime IWM: desde 28/09/2026, entradas feitas com o IWM em baixa recebem sizing 0 (coluna 'Regime IWM' = sim na aba Operações).</t>
  </si>
  <si>
    <t xml:space="preserve">5. As operações são reais e foram registradas automaticamente; o dimensionamento é aplicado retroativamente. NÃO é extrato de corretora.</t>
  </si>
  <si>
    <t xml:space="preserve">6. O mês corrente fica fora do acumulado, como no dashboard. Primeiro mês parcial (começa em 12/01).</t>
  </si>
  <si>
    <t xml:space="preserve">#</t>
  </si>
  <si>
    <t xml:space="preserve">Símbolo</t>
  </si>
  <si>
    <t xml:space="preserve">Estratégia</t>
  </si>
  <si>
    <t xml:space="preserve">Classe</t>
  </si>
  <si>
    <t xml:space="preserve">Score</t>
  </si>
  <si>
    <t xml:space="preserve">Prob %</t>
  </si>
  <si>
    <t xml:space="preserve">PF</t>
  </si>
  <si>
    <t xml:space="preserve">Entrada</t>
  </si>
  <si>
    <t xml:space="preserve">Saída</t>
  </si>
  <si>
    <t xml:space="preserve">Dias</t>
  </si>
  <si>
    <t xml:space="preserve">P/L %</t>
  </si>
  <si>
    <t xml:space="preserve">Perfil de convicção</t>
  </si>
  <si>
    <t xml:space="preserve">Sizing %</t>
  </si>
  <si>
    <t xml:space="preserve">Alocação US$</t>
  </si>
  <si>
    <t xml:space="preserve">Contribuição US$</t>
  </si>
  <si>
    <t xml:space="preserve">Acumulado US$</t>
  </si>
  <si>
    <t xml:space="preserve">Regime IWM</t>
  </si>
  <si>
    <t xml:space="preserve">AXP</t>
  </si>
  <si>
    <t xml:space="preserve">sem etiqueta</t>
  </si>
  <si>
    <t xml:space="preserve">—</t>
  </si>
  <si>
    <t xml:space="preserve">não</t>
  </si>
  <si>
    <t xml:space="preserve">GEV</t>
  </si>
  <si>
    <t xml:space="preserve">LION</t>
  </si>
  <si>
    <t xml:space="preserve">WDC</t>
  </si>
  <si>
    <t xml:space="preserve">PHAR</t>
  </si>
  <si>
    <t xml:space="preserve">AU</t>
  </si>
  <si>
    <t xml:space="preserve">CRM</t>
  </si>
  <si>
    <t xml:space="preserve">GFI</t>
  </si>
  <si>
    <t xml:space="preserve">SSRM</t>
  </si>
  <si>
    <t xml:space="preserve">ALAB</t>
  </si>
  <si>
    <t xml:space="preserve">FNMA</t>
  </si>
  <si>
    <t xml:space="preserve">CLF</t>
  </si>
  <si>
    <t xml:space="preserve">CRSP</t>
  </si>
  <si>
    <t xml:space="preserve">RNR</t>
  </si>
  <si>
    <t xml:space="preserve">SPG</t>
  </si>
  <si>
    <t xml:space="preserve">BLK</t>
  </si>
  <si>
    <t xml:space="preserve">PJT</t>
  </si>
  <si>
    <t xml:space="preserve">APO</t>
  </si>
  <si>
    <t xml:space="preserve">LLY</t>
  </si>
  <si>
    <t xml:space="preserve">BPAC3</t>
  </si>
  <si>
    <t xml:space="preserve">SNEX</t>
  </si>
  <si>
    <t xml:space="preserve">COCO</t>
  </si>
  <si>
    <t xml:space="preserve">LULU</t>
  </si>
  <si>
    <t xml:space="preserve">NVDA</t>
  </si>
  <si>
    <t xml:space="preserve">OTF</t>
  </si>
  <si>
    <t xml:space="preserve">IONQ</t>
  </si>
  <si>
    <t xml:space="preserve">C</t>
  </si>
  <si>
    <t xml:space="preserve">DBI</t>
  </si>
  <si>
    <t xml:space="preserve">HROW</t>
  </si>
  <si>
    <t xml:space="preserve">CRUS</t>
  </si>
  <si>
    <t xml:space="preserve">PLAB</t>
  </si>
  <si>
    <t xml:space="preserve">OMAB</t>
  </si>
  <si>
    <t xml:space="preserve">LMND</t>
  </si>
  <si>
    <t xml:space="preserve">UNH</t>
  </si>
  <si>
    <t xml:space="preserve">USCB</t>
  </si>
  <si>
    <t xml:space="preserve">NU</t>
  </si>
  <si>
    <t xml:space="preserve">COO</t>
  </si>
  <si>
    <t xml:space="preserve">IDEXY</t>
  </si>
  <si>
    <t xml:space="preserve">SRPT</t>
  </si>
  <si>
    <t xml:space="preserve">BMBL</t>
  </si>
  <si>
    <t xml:space="preserve">CI</t>
  </si>
  <si>
    <t xml:space="preserve">EXEL</t>
  </si>
  <si>
    <t xml:space="preserve">RRR</t>
  </si>
  <si>
    <t xml:space="preserve">HSBC</t>
  </si>
  <si>
    <t xml:space="preserve">CIEN</t>
  </si>
  <si>
    <t xml:space="preserve">RL</t>
  </si>
  <si>
    <t xml:space="preserve">SPRO</t>
  </si>
  <si>
    <t xml:space="preserve">LITE</t>
  </si>
  <si>
    <t xml:space="preserve">LUV</t>
  </si>
  <si>
    <t xml:space="preserve">SAIC</t>
  </si>
  <si>
    <t xml:space="preserve">COP</t>
  </si>
  <si>
    <t xml:space="preserve">META</t>
  </si>
  <si>
    <t xml:space="preserve">EPD</t>
  </si>
  <si>
    <t xml:space="preserve">BEAM</t>
  </si>
  <si>
    <t xml:space="preserve">JOYY</t>
  </si>
  <si>
    <t xml:space="preserve">SEER</t>
  </si>
  <si>
    <t xml:space="preserve">DECK</t>
  </si>
  <si>
    <t xml:space="preserve">IMUX</t>
  </si>
  <si>
    <t xml:space="preserve">RF</t>
  </si>
  <si>
    <t xml:space="preserve">IIIN</t>
  </si>
  <si>
    <t xml:space="preserve">ATI</t>
  </si>
  <si>
    <t xml:space="preserve">NDX</t>
  </si>
  <si>
    <t xml:space="preserve">JKS</t>
  </si>
  <si>
    <t xml:space="preserve">TRMK</t>
  </si>
  <si>
    <t xml:space="preserve">ZION</t>
  </si>
  <si>
    <t xml:space="preserve">EAT</t>
  </si>
  <si>
    <t xml:space="preserve">KR</t>
  </si>
  <si>
    <t xml:space="preserve">UPS</t>
  </si>
  <si>
    <t xml:space="preserve">MCFT</t>
  </si>
  <si>
    <t xml:space="preserve">ADEA</t>
  </si>
  <si>
    <t xml:space="preserve">SKIL</t>
  </si>
  <si>
    <t xml:space="preserve">SPX</t>
  </si>
  <si>
    <t xml:space="preserve">BMY</t>
  </si>
  <si>
    <t xml:space="preserve">CAH</t>
  </si>
  <si>
    <t xml:space="preserve">UFCS</t>
  </si>
  <si>
    <t xml:space="preserve">ENLV</t>
  </si>
  <si>
    <t xml:space="preserve">ASGN</t>
  </si>
  <si>
    <t xml:space="preserve">AER</t>
  </si>
  <si>
    <t xml:space="preserve">KNOP</t>
  </si>
  <si>
    <t xml:space="preserve">NVST</t>
  </si>
  <si>
    <t xml:space="preserve">NNBR</t>
  </si>
  <si>
    <t xml:space="preserve">LRCX</t>
  </si>
  <si>
    <t xml:space="preserve">TSM</t>
  </si>
  <si>
    <t xml:space="preserve">SPXC</t>
  </si>
  <si>
    <t xml:space="preserve">ASTL</t>
  </si>
  <si>
    <t xml:space="preserve">F</t>
  </si>
  <si>
    <t xml:space="preserve">MUX</t>
  </si>
  <si>
    <t xml:space="preserve">UUUU</t>
  </si>
  <si>
    <t xml:space="preserve">ICHR</t>
  </si>
  <si>
    <t xml:space="preserve">GM</t>
  </si>
  <si>
    <t xml:space="preserve">NXE</t>
  </si>
  <si>
    <t xml:space="preserve">ALB</t>
  </si>
  <si>
    <t xml:space="preserve">BJRI</t>
  </si>
  <si>
    <t xml:space="preserve">KUBTY</t>
  </si>
  <si>
    <t xml:space="preserve">OPRT</t>
  </si>
  <si>
    <t xml:space="preserve">BKNIY</t>
  </si>
  <si>
    <t xml:space="preserve">AMAT</t>
  </si>
  <si>
    <t xml:space="preserve">NEXA</t>
  </si>
  <si>
    <t xml:space="preserve">ROST</t>
  </si>
  <si>
    <t xml:space="preserve">WT</t>
  </si>
  <si>
    <t xml:space="preserve">TTMI</t>
  </si>
  <si>
    <t xml:space="preserve">AAOI</t>
  </si>
  <si>
    <t xml:space="preserve">ANET</t>
  </si>
  <si>
    <t xml:space="preserve">ASM</t>
  </si>
  <si>
    <t xml:space="preserve">CWCO</t>
  </si>
  <si>
    <t xml:space="preserve">HDSN</t>
  </si>
  <si>
    <t xml:space="preserve">MPWR</t>
  </si>
  <si>
    <t xml:space="preserve">ASML</t>
  </si>
  <si>
    <t xml:space="preserve">STX</t>
  </si>
  <si>
    <t xml:space="preserve">① CORE</t>
  </si>
  <si>
    <t xml:space="preserve">BANF</t>
  </si>
  <si>
    <t xml:space="preserve">BWMX</t>
  </si>
  <si>
    <t xml:space="preserve">CATY</t>
  </si>
  <si>
    <t xml:space="preserve">DPMLF</t>
  </si>
  <si>
    <t xml:space="preserve">MEOH</t>
  </si>
  <si>
    <t xml:space="preserve">ASR</t>
  </si>
  <si>
    <t xml:space="preserve">VVX</t>
  </si>
  <si>
    <t xml:space="preserve">BURL</t>
  </si>
  <si>
    <t xml:space="preserve">ULTA</t>
  </si>
  <si>
    <t xml:space="preserve">② CTRL</t>
  </si>
  <si>
    <t xml:space="preserve">GAP</t>
  </si>
  <si>
    <t xml:space="preserve">AIT</t>
  </si>
  <si>
    <t xml:space="preserve">NECB</t>
  </si>
  <si>
    <t xml:space="preserve">REGN</t>
  </si>
  <si>
    <t xml:space="preserve">ASRT</t>
  </si>
  <si>
    <t xml:space="preserve">WWD</t>
  </si>
  <si>
    <t xml:space="preserve">HTHT</t>
  </si>
  <si>
    <t xml:space="preserve">OII</t>
  </si>
  <si>
    <t xml:space="preserve">THG</t>
  </si>
  <si>
    <t xml:space="preserve">UNFI</t>
  </si>
  <si>
    <t xml:space="preserve">VFF</t>
  </si>
  <si>
    <t xml:space="preserve">RWT</t>
  </si>
  <si>
    <t xml:space="preserve">TIMB</t>
  </si>
  <si>
    <t xml:space="preserve">CP_v11</t>
  </si>
  <si>
    <t xml:space="preserve">✓ OK</t>
  </si>
  <si>
    <t xml:space="preserve">GBOOY</t>
  </si>
  <si>
    <t xml:space="preserve">AUOTY</t>
  </si>
  <si>
    <t xml:space="preserve">PRO_MACDLE</t>
  </si>
  <si>
    <t xml:space="preserve">FIVE</t>
  </si>
  <si>
    <t xml:space="preserve">XFOR</t>
  </si>
  <si>
    <t xml:space="preserve">⬆ STRONG</t>
  </si>
  <si>
    <t xml:space="preserve">VECO</t>
  </si>
  <si>
    <t xml:space="preserve">LBRX</t>
  </si>
  <si>
    <t xml:space="preserve">ROKU</t>
  </si>
  <si>
    <t xml:space="preserve">SUBCY</t>
  </si>
  <si>
    <t xml:space="preserve">DIBS</t>
  </si>
  <si>
    <t xml:space="preserve">◆ MEDIUM</t>
  </si>
  <si>
    <t xml:space="preserve">INSW</t>
  </si>
  <si>
    <t xml:space="preserve">YOU</t>
  </si>
  <si>
    <t xml:space="preserve">Q</t>
  </si>
  <si>
    <t xml:space="preserve">CBC</t>
  </si>
  <si>
    <t xml:space="preserve">APYX</t>
  </si>
  <si>
    <t xml:space="preserve">OPRA</t>
  </si>
  <si>
    <t xml:space="preserve">SMSI</t>
  </si>
  <si>
    <t xml:space="preserve">AXTI</t>
  </si>
  <si>
    <t xml:space="preserve">CLS</t>
  </si>
  <si>
    <t xml:space="preserve">CTXAY</t>
  </si>
  <si>
    <t xml:space="preserve">SDVKY</t>
  </si>
  <si>
    <t xml:space="preserve">ANF</t>
  </si>
  <si>
    <t xml:space="preserve">FLR</t>
  </si>
  <si>
    <t xml:space="preserve">RDCM</t>
  </si>
  <si>
    <t xml:space="preserve">NWPX</t>
  </si>
  <si>
    <t xml:space="preserve">ORN</t>
  </si>
  <si>
    <t xml:space="preserve">COHR</t>
  </si>
  <si>
    <t xml:space="preserve">GDS</t>
  </si>
  <si>
    <t xml:space="preserve">FUTU</t>
  </si>
  <si>
    <t xml:space="preserve">VSCO</t>
  </si>
  <si>
    <t xml:space="preserve">PF baixo</t>
  </si>
  <si>
    <t xml:space="preserve">BW</t>
  </si>
  <si>
    <t xml:space="preserve">UAA</t>
  </si>
  <si>
    <t xml:space="preserve">ASCCY</t>
  </si>
  <si>
    <t xml:space="preserve">VFC</t>
  </si>
  <si>
    <t xml:space="preserve">FOX</t>
  </si>
  <si>
    <t xml:space="preserve">SBET</t>
  </si>
  <si>
    <t xml:space="preserve">PRAX</t>
  </si>
  <si>
    <t xml:space="preserve">LSF</t>
  </si>
  <si>
    <t xml:space="preserve">FTI</t>
  </si>
  <si>
    <t xml:space="preserve">LVO</t>
  </si>
  <si>
    <t xml:space="preserve">VIAV</t>
  </si>
  <si>
    <t xml:space="preserve">MOD</t>
  </si>
  <si>
    <t xml:space="preserve">SMBK</t>
  </si>
  <si>
    <t xml:space="preserve">VIK</t>
  </si>
  <si>
    <t xml:space="preserve">ACT</t>
  </si>
  <si>
    <t xml:space="preserve">BFH</t>
  </si>
  <si>
    <t xml:space="preserve">TTWO</t>
  </si>
  <si>
    <t xml:space="preserve">WTTR</t>
  </si>
  <si>
    <t xml:space="preserve">DNKEY</t>
  </si>
  <si>
    <t xml:space="preserve">SITM</t>
  </si>
  <si>
    <t xml:space="preserve">CON</t>
  </si>
  <si>
    <t xml:space="preserve">AKRBY</t>
  </si>
  <si>
    <t xml:space="preserve">ULS</t>
  </si>
  <si>
    <t xml:space="preserve">TER</t>
  </si>
  <si>
    <t xml:space="preserve">MU</t>
  </si>
  <si>
    <t xml:space="preserve">NVT</t>
  </si>
  <si>
    <t xml:space="preserve">ASX</t>
  </si>
  <si>
    <t xml:space="preserve">RIVN</t>
  </si>
  <si>
    <t xml:space="preserve">RVMD</t>
  </si>
  <si>
    <t xml:space="preserve">STRL</t>
  </si>
  <si>
    <t xml:space="preserve">MCY</t>
  </si>
  <si>
    <t xml:space="preserve">CDNS</t>
  </si>
  <si>
    <t xml:space="preserve">RPRX</t>
  </si>
  <si>
    <t xml:space="preserve">MRVL</t>
  </si>
  <si>
    <t xml:space="preserve">THC</t>
  </si>
  <si>
    <t xml:space="preserve">IOT</t>
  </si>
  <si>
    <t xml:space="preserve">DXCM</t>
  </si>
  <si>
    <t xml:space="preserve">SHOP</t>
  </si>
  <si>
    <t xml:space="preserve">RGEN</t>
  </si>
  <si>
    <t xml:space="preserve">BEKE</t>
  </si>
  <si>
    <t xml:space="preserve">VG</t>
  </si>
  <si>
    <t xml:space="preserve">CP_v11.5</t>
  </si>
  <si>
    <t xml:space="preserve">YPF</t>
  </si>
  <si>
    <t xml:space="preserve">STT</t>
  </si>
  <si>
    <t xml:space="preserve">CP_v11.2</t>
  </si>
  <si>
    <t xml:space="preserve">XYZ</t>
  </si>
  <si>
    <t xml:space="preserve">WELL</t>
  </si>
  <si>
    <t xml:space="preserve">MCK</t>
  </si>
  <si>
    <t xml:space="preserve">VAC</t>
  </si>
  <si>
    <t xml:space="preserve">LAMR</t>
  </si>
  <si>
    <t xml:space="preserve">ROAD</t>
  </si>
  <si>
    <t xml:space="preserve">NOV</t>
  </si>
  <si>
    <t xml:space="preserve">HWM</t>
  </si>
  <si>
    <t xml:space="preserve">IX</t>
  </si>
  <si>
    <t xml:space="preserve">NATL</t>
  </si>
  <si>
    <t xml:space="preserve">LNVGY</t>
  </si>
  <si>
    <t xml:space="preserve">BBIO</t>
  </si>
  <si>
    <t xml:space="preserve">WSM</t>
  </si>
  <si>
    <t xml:space="preserve">ZIM</t>
  </si>
  <si>
    <t xml:space="preserve">FTDR</t>
  </si>
  <si>
    <t xml:space="preserve">CAKE</t>
  </si>
  <si>
    <t xml:space="preserve">PAY</t>
  </si>
  <si>
    <t xml:space="preserve">RBRK</t>
  </si>
  <si>
    <t xml:space="preserve">CP_v11.7</t>
  </si>
  <si>
    <t xml:space="preserve">CAI</t>
  </si>
  <si>
    <t xml:space="preserve">SNAP</t>
  </si>
  <si>
    <t xml:space="preserve">ILMN</t>
  </si>
  <si>
    <t xml:space="preserve">GLNG</t>
  </si>
  <si>
    <t xml:space="preserve">EQX</t>
  </si>
  <si>
    <t xml:space="preserve">WK</t>
  </si>
  <si>
    <t xml:space="preserve">ARW</t>
  </si>
  <si>
    <t xml:space="preserve">NWSA</t>
  </si>
  <si>
    <t xml:space="preserve">NIQ</t>
  </si>
  <si>
    <t xml:space="preserve">Resultado mensal — calculado por SUMIFS sobre a aba Operações</t>
  </si>
  <si>
    <t xml:space="preserve">Mês</t>
  </si>
  <si>
    <t xml:space="preserve">Início</t>
  </si>
  <si>
    <t xml:space="preserve">Fim</t>
  </si>
  <si>
    <t xml:space="preserve">Operações</t>
  </si>
  <si>
    <t xml:space="preserve">Ganhadoras</t>
  </si>
  <si>
    <t xml:space="preserve">Acerto %</t>
  </si>
  <si>
    <t xml:space="preserve">Resultado US$</t>
  </si>
  <si>
    <t xml:space="preserve">Retorno %</t>
  </si>
  <si>
    <t xml:space="preserve">Acumulado %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</si>
  <si>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</si>
  <si>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</si>
  <si>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</si>
  <si>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</si>
  <si>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</si>
  <si>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</si>
  <si>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</si>
  <si>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</si>
  <si>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</si>
  <si>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TOTAL</t>
  </si>
  <si>
    <t xml:space="preserve">Nota: janeiro começa em 12/01. Outubro (mês corrente) não entra, como no dashboard.</t>
  </si>
  <si>
    <t xml:space="preserve">Contribuição por perfil de convicção — SUMIFS sobre a aba Operações</t>
  </si>
  <si>
    <t xml:space="preserve">P/L médio %</t>
  </si>
  <si>
    <t xml:space="preserve">% do total</t>
  </si>
  <si>
    <t xml:space="preserve">Observação: operações com Regime IWM = sim aparecem no perfil delas, mas contribuem US$ 0 (sizing 0).</t>
  </si>
  <si>
    <t xml:space="preserve">Teste de robustez — e se as operações sem etiqueta fossem todas dimensionadas no mínimo?</t>
  </si>
  <si>
    <t xml:space="preserve">179 das 319 operações são anteriores à etiqueta de estratégia; nelas o perfil foi inferido por probabilidade e profit factor. Se essa inferência estivesse inflando o resultado, forçar TODAS ao menor tamanho não-zero (3,5%) derrubaria o número.</t>
  </si>
  <si>
    <t xml:space="preserve">Cenário</t>
  </si>
  <si>
    <t xml:space="preserve">Descrição</t>
  </si>
  <si>
    <t xml:space="preserve">Base</t>
  </si>
  <si>
    <t xml:space="preserve">Perfil inferido por prob/PF nas operações sem etiqueta</t>
  </si>
  <si>
    <t xml:space="preserve">Conservador</t>
  </si>
  <si>
    <t xml:space="preserve">Sem etiqueta forçadas a 3,5% (menor sizing não-zero)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</si>
</sst>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0.0"/>
    <numFmt numFmtId="168" formatCode="0.000"/>
    <numFmt numFmtId="169" formatCode="dd/mm/yyyy"/>
    <numFmt numFmtId="170" formatCode="0"/>
    <numFmt numFmtId="171" formatCode="0.00%;\(0.00%\);\-"/>
    <numFmt numFmtId="172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A1428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14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100000</v>
      </c>
      <c r="C4" s="5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6" t="s">
        <v>5</v>
      </c>
      <c r="B7" s="6" t="s">
        <v>6</v>
      </c>
      <c r="C7" s="6" t="s">
        <v>7</v>
      </c>
    </row>
    <row r="8" customFormat="false" ht="15" hidden="false" customHeight="false" outlineLevel="0" collapsed="false">
      <c r="A8" s="7" t="s">
        <v>8</v>
      </c>
      <c r="B8" s="7" t="s">
        <v>9</v>
      </c>
      <c r="C8" s="8" t="n">
        <v>0.14</v>
      </c>
    </row>
    <row r="9" customFormat="false" ht="15" hidden="false" customHeight="false" outlineLevel="0" collapsed="false">
      <c r="A9" s="7" t="s">
        <v>10</v>
      </c>
      <c r="B9" s="7" t="s">
        <v>11</v>
      </c>
      <c r="C9" s="8" t="n">
        <v>0.1</v>
      </c>
    </row>
    <row r="10" customFormat="false" ht="15" hidden="false" customHeight="false" outlineLevel="0" collapsed="false">
      <c r="A10" s="7" t="s">
        <v>12</v>
      </c>
      <c r="B10" s="7" t="s">
        <v>13</v>
      </c>
      <c r="C10" s="8" t="n">
        <v>0.085</v>
      </c>
    </row>
    <row r="11" customFormat="false" ht="15" hidden="false" customHeight="false" outlineLevel="0" collapsed="false">
      <c r="A11" s="7" t="s">
        <v>14</v>
      </c>
      <c r="B11" s="7" t="s">
        <v>15</v>
      </c>
      <c r="C11" s="8" t="n">
        <v>0.08</v>
      </c>
    </row>
    <row r="12" customFormat="false" ht="15" hidden="false" customHeight="false" outlineLevel="0" collapsed="false">
      <c r="A12" s="7" t="s">
        <v>16</v>
      </c>
      <c r="B12" s="7" t="s">
        <v>17</v>
      </c>
      <c r="C12" s="8" t="n">
        <v>0.07</v>
      </c>
    </row>
    <row r="13" customFormat="false" ht="15" hidden="false" customHeight="false" outlineLevel="0" collapsed="false">
      <c r="A13" s="7" t="s">
        <v>18</v>
      </c>
      <c r="B13" s="7" t="s">
        <v>19</v>
      </c>
      <c r="C13" s="8" t="n">
        <v>0.06</v>
      </c>
    </row>
    <row r="14" customFormat="false" ht="15" hidden="false" customHeight="false" outlineLevel="0" collapsed="false">
      <c r="A14" s="7" t="s">
        <v>20</v>
      </c>
      <c r="B14" s="7" t="s">
        <v>21</v>
      </c>
      <c r="C14" s="8" t="n">
        <v>0.035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8" t="n">
        <v>0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9" t="s">
        <v>25</v>
      </c>
    </row>
    <row r="19" customFormat="false" ht="15" hidden="false" customHeight="false" outlineLevel="0" collapsed="false">
      <c r="A19" s="9" t="s">
        <v>26</v>
      </c>
    </row>
    <row r="20" customFormat="false" ht="15" hidden="false" customHeight="false" outlineLevel="0" collapsed="false">
      <c r="A20" s="9" t="s">
        <v>27</v>
      </c>
    </row>
    <row r="21" customFormat="false" ht="15" hidden="false" customHeight="false" outlineLevel="0" collapsed="false">
      <c r="A21" s="9" t="s">
        <v>28</v>
      </c>
    </row>
    <row r="22" customFormat="false" ht="15" hidden="false" customHeight="false" outlineLevel="0" collapsed="false">
      <c r="A22" s="9" t="s">
        <v>29</v>
      </c>
    </row>
    <row r="23" customFormat="false" ht="15" hidden="false" customHeight="false" outlineLevel="0" collapsed="false">
      <c r="A23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9" min="8" style="0" width="11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5"/>
    <col collapsed="false" customWidth="true" hidden="false" outlineLevel="0" max="17" min="17" style="0" width="11"/>
  </cols>
  <sheetData>
    <row r="1" customFormat="false" ht="15" hidden="false" customHeight="false" outlineLevel="0" collapsed="false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  <c r="N1" s="10" t="s">
        <v>44</v>
      </c>
      <c r="O1" s="10" t="s">
        <v>45</v>
      </c>
      <c r="P1" s="10" t="s">
        <v>46</v>
      </c>
      <c r="Q1" s="10" t="s">
        <v>47</v>
      </c>
    </row>
    <row r="2" customFormat="false" ht="15" hidden="false" customHeight="false" outlineLevel="0" collapsed="false">
      <c r="A2" s="11" t="n">
        <v>1</v>
      </c>
      <c r="B2" s="11" t="s">
        <v>48</v>
      </c>
      <c r="C2" s="11" t="s">
        <v>49</v>
      </c>
      <c r="D2" s="11" t="s">
        <v>50</v>
      </c>
      <c r="E2" s="12"/>
      <c r="F2" s="13" t="n">
        <v>0.418</v>
      </c>
      <c r="G2" s="14" t="n">
        <v>1.368</v>
      </c>
      <c r="H2" s="15" t="n">
        <v>46027</v>
      </c>
      <c r="I2" s="15" t="n">
        <v>46034</v>
      </c>
      <c r="J2" s="16" t="n">
        <v>7</v>
      </c>
      <c r="K2" s="17" t="n">
        <v>-0.0535</v>
      </c>
      <c r="L2" s="11" t="s">
        <v>20</v>
      </c>
      <c r="M2" s="13" t="n">
        <f aca="false">IF(Q2="sim",0,IFERROR(INDEX(Premissas!$C$8:$C$15,MATCH(L2,Premissas!$A$8:$A$15,0)),0))</f>
        <v>0.035</v>
      </c>
      <c r="N2" s="18" t="n">
        <f aca="false">Premissas!$B$4*M2</f>
        <v>3500</v>
      </c>
      <c r="O2" s="18" t="n">
        <f aca="false">N2*K2</f>
        <v>-187.25</v>
      </c>
      <c r="P2" s="18" t="n">
        <f aca="false">O2</f>
        <v>-187.25</v>
      </c>
      <c r="Q2" s="11" t="s">
        <v>51</v>
      </c>
    </row>
    <row r="3" customFormat="false" ht="15" hidden="false" customHeight="false" outlineLevel="0" collapsed="false">
      <c r="A3" s="11" t="n">
        <v>2</v>
      </c>
      <c r="B3" s="11" t="s">
        <v>52</v>
      </c>
      <c r="C3" s="11" t="s">
        <v>49</v>
      </c>
      <c r="D3" s="11" t="s">
        <v>50</v>
      </c>
      <c r="E3" s="12"/>
      <c r="F3" s="13" t="n">
        <v>0.4286</v>
      </c>
      <c r="G3" s="14"/>
      <c r="H3" s="15" t="n">
        <v>46024</v>
      </c>
      <c r="I3" s="15" t="n">
        <v>46034</v>
      </c>
      <c r="J3" s="16" t="n">
        <v>10</v>
      </c>
      <c r="K3" s="17" t="n">
        <v>-0.0572</v>
      </c>
      <c r="L3" s="11" t="s">
        <v>20</v>
      </c>
      <c r="M3" s="13" t="n">
        <f aca="false">IF(Q3="sim",0,IFERROR(INDEX(Premissas!$C$8:$C$15,MATCH(L3,Premissas!$A$8:$A$15,0)),0))</f>
        <v>0.035</v>
      </c>
      <c r="N3" s="18" t="n">
        <f aca="false">Premissas!$B$4*M3</f>
        <v>3500</v>
      </c>
      <c r="O3" s="18" t="n">
        <f aca="false">N3*K3</f>
        <v>-200.2</v>
      </c>
      <c r="P3" s="18" t="n">
        <f aca="false">P2+O3</f>
        <v>-387.45</v>
      </c>
      <c r="Q3" s="11" t="s">
        <v>51</v>
      </c>
    </row>
    <row r="4" customFormat="false" ht="15" hidden="false" customHeight="false" outlineLevel="0" collapsed="false">
      <c r="A4" s="11" t="n">
        <v>3</v>
      </c>
      <c r="B4" s="11" t="s">
        <v>53</v>
      </c>
      <c r="C4" s="11" t="s">
        <v>49</v>
      </c>
      <c r="D4" s="11" t="s">
        <v>50</v>
      </c>
      <c r="E4" s="12"/>
      <c r="F4" s="13" t="n">
        <v>0.4211</v>
      </c>
      <c r="G4" s="14"/>
      <c r="H4" s="15" t="n">
        <v>46031</v>
      </c>
      <c r="I4" s="15" t="n">
        <v>46034</v>
      </c>
      <c r="J4" s="16" t="n">
        <v>3</v>
      </c>
      <c r="K4" s="17" t="n">
        <v>0</v>
      </c>
      <c r="L4" s="11" t="s">
        <v>20</v>
      </c>
      <c r="M4" s="13" t="n">
        <f aca="false">IF(Q4="sim",0,IFERROR(INDEX(Premissas!$C$8:$C$15,MATCH(L4,Premissas!$A$8:$A$15,0)),0))</f>
        <v>0.035</v>
      </c>
      <c r="N4" s="18" t="n">
        <f aca="false">Premissas!$B$4*M4</f>
        <v>3500</v>
      </c>
      <c r="O4" s="18" t="n">
        <f aca="false">N4*K4</f>
        <v>0</v>
      </c>
      <c r="P4" s="18" t="n">
        <f aca="false">P3+O4</f>
        <v>-387.45</v>
      </c>
      <c r="Q4" s="11" t="s">
        <v>51</v>
      </c>
    </row>
    <row r="5" customFormat="false" ht="15" hidden="false" customHeight="false" outlineLevel="0" collapsed="false">
      <c r="A5" s="11" t="n">
        <v>4</v>
      </c>
      <c r="B5" s="11" t="s">
        <v>54</v>
      </c>
      <c r="C5" s="11" t="s">
        <v>49</v>
      </c>
      <c r="D5" s="11" t="s">
        <v>50</v>
      </c>
      <c r="E5" s="12"/>
      <c r="F5" s="13" t="n">
        <v>0.6073</v>
      </c>
      <c r="G5" s="14" t="n">
        <v>1.062</v>
      </c>
      <c r="H5" s="15" t="n">
        <v>46034</v>
      </c>
      <c r="I5" s="15" t="n">
        <v>46034</v>
      </c>
      <c r="J5" s="16" t="n">
        <v>0</v>
      </c>
      <c r="K5" s="17" t="n">
        <v>0</v>
      </c>
      <c r="L5" s="11" t="s">
        <v>20</v>
      </c>
      <c r="M5" s="13" t="n">
        <f aca="false">IF(Q5="sim",0,IFERROR(INDEX(Premissas!$C$8:$C$15,MATCH(L5,Premissas!$A$8:$A$15,0)),0))</f>
        <v>0.035</v>
      </c>
      <c r="N5" s="18" t="n">
        <f aca="false">Premissas!$B$4*M5</f>
        <v>3500</v>
      </c>
      <c r="O5" s="18" t="n">
        <f aca="false">N5*K5</f>
        <v>0</v>
      </c>
      <c r="P5" s="18" t="n">
        <f aca="false">P4+O5</f>
        <v>-387.45</v>
      </c>
      <c r="Q5" s="11" t="s">
        <v>51</v>
      </c>
    </row>
    <row r="6" customFormat="false" ht="15" hidden="false" customHeight="false" outlineLevel="0" collapsed="false">
      <c r="A6" s="11" t="n">
        <v>5</v>
      </c>
      <c r="B6" s="11" t="s">
        <v>55</v>
      </c>
      <c r="C6" s="11" t="s">
        <v>49</v>
      </c>
      <c r="D6" s="11" t="s">
        <v>50</v>
      </c>
      <c r="E6" s="12"/>
      <c r="F6" s="13" t="n">
        <v>0.3889</v>
      </c>
      <c r="G6" s="14"/>
      <c r="H6" s="15" t="n">
        <v>46030</v>
      </c>
      <c r="I6" s="15" t="n">
        <v>46034</v>
      </c>
      <c r="J6" s="16" t="n">
        <v>4</v>
      </c>
      <c r="K6" s="17" t="n">
        <v>0.054</v>
      </c>
      <c r="L6" s="11" t="s">
        <v>20</v>
      </c>
      <c r="M6" s="13" t="n">
        <f aca="false">IF(Q6="sim",0,IFERROR(INDEX(Premissas!$C$8:$C$15,MATCH(L6,Premissas!$A$8:$A$15,0)),0))</f>
        <v>0.035</v>
      </c>
      <c r="N6" s="18" t="n">
        <f aca="false">Premissas!$B$4*M6</f>
        <v>3500</v>
      </c>
      <c r="O6" s="18" t="n">
        <f aca="false">N6*K6</f>
        <v>189</v>
      </c>
      <c r="P6" s="18" t="n">
        <f aca="false">P5+O6</f>
        <v>-198.45</v>
      </c>
      <c r="Q6" s="11" t="s">
        <v>51</v>
      </c>
    </row>
    <row r="7" customFormat="false" ht="15" hidden="false" customHeight="false" outlineLevel="0" collapsed="false">
      <c r="A7" s="11" t="n">
        <v>6</v>
      </c>
      <c r="B7" s="11" t="s">
        <v>56</v>
      </c>
      <c r="C7" s="11" t="s">
        <v>49</v>
      </c>
      <c r="D7" s="11" t="s">
        <v>50</v>
      </c>
      <c r="E7" s="12"/>
      <c r="F7" s="13" t="n">
        <v>0.5682</v>
      </c>
      <c r="G7" s="14" t="n">
        <v>1.447</v>
      </c>
      <c r="H7" s="15" t="n">
        <v>46027</v>
      </c>
      <c r="I7" s="15" t="n">
        <v>46034</v>
      </c>
      <c r="J7" s="16" t="n">
        <v>7</v>
      </c>
      <c r="K7" s="17" t="n">
        <v>0.0962</v>
      </c>
      <c r="L7" s="11" t="s">
        <v>20</v>
      </c>
      <c r="M7" s="13" t="n">
        <f aca="false">IF(Q7="sim",0,IFERROR(INDEX(Premissas!$C$8:$C$15,MATCH(L7,Premissas!$A$8:$A$15,0)),0))</f>
        <v>0.035</v>
      </c>
      <c r="N7" s="18" t="n">
        <f aca="false">Premissas!$B$4*M7</f>
        <v>3500</v>
      </c>
      <c r="O7" s="18" t="n">
        <f aca="false">N7*K7</f>
        <v>336.7</v>
      </c>
      <c r="P7" s="18" t="n">
        <f aca="false">P6+O7</f>
        <v>138.25</v>
      </c>
      <c r="Q7" s="11" t="s">
        <v>51</v>
      </c>
    </row>
    <row r="8" customFormat="false" ht="15" hidden="false" customHeight="false" outlineLevel="0" collapsed="false">
      <c r="A8" s="11" t="n">
        <v>7</v>
      </c>
      <c r="B8" s="11" t="s">
        <v>57</v>
      </c>
      <c r="C8" s="11" t="s">
        <v>49</v>
      </c>
      <c r="D8" s="11" t="s">
        <v>50</v>
      </c>
      <c r="E8" s="12"/>
      <c r="F8" s="13" t="n">
        <v>0.5843</v>
      </c>
      <c r="G8" s="14" t="n">
        <v>2.013</v>
      </c>
      <c r="H8" s="15" t="n">
        <v>46029</v>
      </c>
      <c r="I8" s="15" t="n">
        <v>46035</v>
      </c>
      <c r="J8" s="16" t="n">
        <v>6</v>
      </c>
      <c r="K8" s="17" t="n">
        <v>-0.0942</v>
      </c>
      <c r="L8" s="11" t="s">
        <v>20</v>
      </c>
      <c r="M8" s="13" t="n">
        <f aca="false">IF(Q8="sim",0,IFERROR(INDEX(Premissas!$C$8:$C$15,MATCH(L8,Premissas!$A$8:$A$15,0)),0))</f>
        <v>0.035</v>
      </c>
      <c r="N8" s="18" t="n">
        <f aca="false">Premissas!$B$4*M8</f>
        <v>3500</v>
      </c>
      <c r="O8" s="18" t="n">
        <f aca="false">N8*K8</f>
        <v>-329.7</v>
      </c>
      <c r="P8" s="18" t="n">
        <f aca="false">P7+O8</f>
        <v>-191.45</v>
      </c>
      <c r="Q8" s="11" t="s">
        <v>51</v>
      </c>
    </row>
    <row r="9" customFormat="false" ht="15" hidden="false" customHeight="false" outlineLevel="0" collapsed="false">
      <c r="A9" s="11" t="n">
        <v>8</v>
      </c>
      <c r="B9" s="11" t="s">
        <v>53</v>
      </c>
      <c r="C9" s="11" t="s">
        <v>49</v>
      </c>
      <c r="D9" s="11" t="s">
        <v>50</v>
      </c>
      <c r="E9" s="12"/>
      <c r="F9" s="13" t="n">
        <v>0.4211</v>
      </c>
      <c r="G9" s="14"/>
      <c r="H9" s="15" t="n">
        <v>46031</v>
      </c>
      <c r="I9" s="15" t="n">
        <v>46035</v>
      </c>
      <c r="J9" s="16" t="n">
        <v>4</v>
      </c>
      <c r="K9" s="17" t="n">
        <v>0.0089</v>
      </c>
      <c r="L9" s="11" t="s">
        <v>20</v>
      </c>
      <c r="M9" s="13" t="n">
        <f aca="false">IF(Q9="sim",0,IFERROR(INDEX(Premissas!$C$8:$C$15,MATCH(L9,Premissas!$A$8:$A$15,0)),0))</f>
        <v>0.035</v>
      </c>
      <c r="N9" s="18" t="n">
        <f aca="false">Premissas!$B$4*M9</f>
        <v>3500</v>
      </c>
      <c r="O9" s="18" t="n">
        <f aca="false">N9*K9</f>
        <v>31.15</v>
      </c>
      <c r="P9" s="18" t="n">
        <f aca="false">P8+O9</f>
        <v>-160.3</v>
      </c>
      <c r="Q9" s="11" t="s">
        <v>51</v>
      </c>
    </row>
    <row r="10" customFormat="false" ht="15" hidden="false" customHeight="false" outlineLevel="0" collapsed="false">
      <c r="A10" s="11" t="n">
        <v>9</v>
      </c>
      <c r="B10" s="11" t="s">
        <v>58</v>
      </c>
      <c r="C10" s="11" t="s">
        <v>49</v>
      </c>
      <c r="D10" s="11" t="s">
        <v>50</v>
      </c>
      <c r="E10" s="12"/>
      <c r="F10" s="13" t="n">
        <v>0.6294</v>
      </c>
      <c r="G10" s="14" t="n">
        <v>1.171</v>
      </c>
      <c r="H10" s="15" t="n">
        <v>46028</v>
      </c>
      <c r="I10" s="15" t="n">
        <v>46035</v>
      </c>
      <c r="J10" s="16" t="n">
        <v>7</v>
      </c>
      <c r="K10" s="17" t="n">
        <v>0.0572</v>
      </c>
      <c r="L10" s="11" t="s">
        <v>20</v>
      </c>
      <c r="M10" s="13" t="n">
        <f aca="false">IF(Q10="sim",0,IFERROR(INDEX(Premissas!$C$8:$C$15,MATCH(L10,Premissas!$A$8:$A$15,0)),0))</f>
        <v>0.035</v>
      </c>
      <c r="N10" s="18" t="n">
        <f aca="false">Premissas!$B$4*M10</f>
        <v>3500</v>
      </c>
      <c r="O10" s="18" t="n">
        <f aca="false">N10*K10</f>
        <v>200.2</v>
      </c>
      <c r="P10" s="18" t="n">
        <f aca="false">P9+O10</f>
        <v>39.9</v>
      </c>
      <c r="Q10" s="11" t="s">
        <v>51</v>
      </c>
    </row>
    <row r="11" customFormat="false" ht="15" hidden="false" customHeight="false" outlineLevel="0" collapsed="false">
      <c r="A11" s="11" t="n">
        <v>10</v>
      </c>
      <c r="B11" s="11" t="s">
        <v>59</v>
      </c>
      <c r="C11" s="11" t="s">
        <v>49</v>
      </c>
      <c r="D11" s="11" t="s">
        <v>50</v>
      </c>
      <c r="E11" s="12"/>
      <c r="F11" s="13" t="n">
        <v>0.6713</v>
      </c>
      <c r="G11" s="14" t="n">
        <v>1.693</v>
      </c>
      <c r="H11" s="15" t="n">
        <v>46034</v>
      </c>
      <c r="I11" s="15" t="n">
        <v>46035</v>
      </c>
      <c r="J11" s="16" t="n">
        <v>1</v>
      </c>
      <c r="K11" s="17" t="n">
        <v>0.0631</v>
      </c>
      <c r="L11" s="11" t="s">
        <v>10</v>
      </c>
      <c r="M11" s="13" t="n">
        <f aca="false">IF(Q11="sim",0,IFERROR(INDEX(Premissas!$C$8:$C$15,MATCH(L11,Premissas!$A$8:$A$15,0)),0))</f>
        <v>0.1</v>
      </c>
      <c r="N11" s="18" t="n">
        <f aca="false">Premissas!$B$4*M11</f>
        <v>10000</v>
      </c>
      <c r="O11" s="18" t="n">
        <f aca="false">N11*K11</f>
        <v>631</v>
      </c>
      <c r="P11" s="18" t="n">
        <f aca="false">P10+O11</f>
        <v>670.9</v>
      </c>
      <c r="Q11" s="11" t="s">
        <v>51</v>
      </c>
    </row>
    <row r="12" customFormat="false" ht="15" hidden="false" customHeight="false" outlineLevel="0" collapsed="false">
      <c r="A12" s="11" t="n">
        <v>11</v>
      </c>
      <c r="B12" s="11" t="s">
        <v>60</v>
      </c>
      <c r="C12" s="11" t="s">
        <v>49</v>
      </c>
      <c r="D12" s="11" t="s">
        <v>50</v>
      </c>
      <c r="E12" s="12"/>
      <c r="F12" s="13" t="n">
        <v>0.8333</v>
      </c>
      <c r="G12" s="14"/>
      <c r="H12" s="15" t="n">
        <v>46034</v>
      </c>
      <c r="I12" s="15" t="n">
        <v>46035</v>
      </c>
      <c r="J12" s="16" t="n">
        <v>1</v>
      </c>
      <c r="K12" s="17" t="n">
        <v>0.0628</v>
      </c>
      <c r="L12" s="11" t="s">
        <v>20</v>
      </c>
      <c r="M12" s="13" t="n">
        <f aca="false">IF(Q12="sim",0,IFERROR(INDEX(Premissas!$C$8:$C$15,MATCH(L12,Premissas!$A$8:$A$15,0)),0))</f>
        <v>0.035</v>
      </c>
      <c r="N12" s="18" t="n">
        <f aca="false">Premissas!$B$4*M12</f>
        <v>3500</v>
      </c>
      <c r="O12" s="18" t="n">
        <f aca="false">N12*K12</f>
        <v>219.8</v>
      </c>
      <c r="P12" s="18" t="n">
        <f aca="false">P11+O12</f>
        <v>890.7</v>
      </c>
      <c r="Q12" s="11" t="s">
        <v>51</v>
      </c>
    </row>
    <row r="13" customFormat="false" ht="15" hidden="false" customHeight="false" outlineLevel="0" collapsed="false">
      <c r="A13" s="11" t="n">
        <v>12</v>
      </c>
      <c r="B13" s="11" t="s">
        <v>61</v>
      </c>
      <c r="C13" s="11" t="s">
        <v>49</v>
      </c>
      <c r="D13" s="11" t="s">
        <v>50</v>
      </c>
      <c r="E13" s="12"/>
      <c r="F13" s="13" t="n">
        <v>0.5702</v>
      </c>
      <c r="G13" s="14" t="n">
        <v>1.76</v>
      </c>
      <c r="H13" s="15" t="n">
        <v>46031</v>
      </c>
      <c r="I13" s="15" t="n">
        <v>46036</v>
      </c>
      <c r="J13" s="16" t="n">
        <v>5</v>
      </c>
      <c r="K13" s="17" t="n">
        <v>-0.0763</v>
      </c>
      <c r="L13" s="11" t="s">
        <v>20</v>
      </c>
      <c r="M13" s="13" t="n">
        <f aca="false">IF(Q13="sim",0,IFERROR(INDEX(Premissas!$C$8:$C$15,MATCH(L13,Premissas!$A$8:$A$15,0)),0))</f>
        <v>0.035</v>
      </c>
      <c r="N13" s="18" t="n">
        <f aca="false">Premissas!$B$4*M13</f>
        <v>3500</v>
      </c>
      <c r="O13" s="18" t="n">
        <f aca="false">N13*K13</f>
        <v>-267.05</v>
      </c>
      <c r="P13" s="18" t="n">
        <f aca="false">P12+O13</f>
        <v>623.65</v>
      </c>
      <c r="Q13" s="11" t="s">
        <v>51</v>
      </c>
    </row>
    <row r="14" customFormat="false" ht="15" hidden="false" customHeight="false" outlineLevel="0" collapsed="false">
      <c r="A14" s="11" t="n">
        <v>13</v>
      </c>
      <c r="B14" s="11" t="s">
        <v>62</v>
      </c>
      <c r="C14" s="11" t="s">
        <v>49</v>
      </c>
      <c r="D14" s="11" t="s">
        <v>50</v>
      </c>
      <c r="E14" s="12"/>
      <c r="F14" s="13" t="n">
        <v>0.5369</v>
      </c>
      <c r="G14" s="14" t="n">
        <v>1.545</v>
      </c>
      <c r="H14" s="15" t="n">
        <v>46034</v>
      </c>
      <c r="I14" s="15" t="n">
        <v>46036</v>
      </c>
      <c r="J14" s="16" t="n">
        <v>2</v>
      </c>
      <c r="K14" s="17" t="n">
        <v>0.0554</v>
      </c>
      <c r="L14" s="11" t="s">
        <v>20</v>
      </c>
      <c r="M14" s="13" t="n">
        <f aca="false">IF(Q14="sim",0,IFERROR(INDEX(Premissas!$C$8:$C$15,MATCH(L14,Premissas!$A$8:$A$15,0)),0))</f>
        <v>0.035</v>
      </c>
      <c r="N14" s="18" t="n">
        <f aca="false">Premissas!$B$4*M14</f>
        <v>3500</v>
      </c>
      <c r="O14" s="18" t="n">
        <f aca="false">N14*K14</f>
        <v>193.9</v>
      </c>
      <c r="P14" s="18" t="n">
        <f aca="false">P13+O14</f>
        <v>817.55</v>
      </c>
      <c r="Q14" s="11" t="s">
        <v>51</v>
      </c>
    </row>
    <row r="15" customFormat="false" ht="15" hidden="false" customHeight="false" outlineLevel="0" collapsed="false">
      <c r="A15" s="11" t="n">
        <v>14</v>
      </c>
      <c r="B15" s="11" t="s">
        <v>63</v>
      </c>
      <c r="C15" s="11" t="s">
        <v>49</v>
      </c>
      <c r="D15" s="11" t="s">
        <v>50</v>
      </c>
      <c r="E15" s="12"/>
      <c r="F15" s="13" t="n">
        <v>0.625</v>
      </c>
      <c r="G15" s="14" t="n">
        <v>2.336</v>
      </c>
      <c r="H15" s="15" t="n">
        <v>46036</v>
      </c>
      <c r="I15" s="15" t="n">
        <v>46037</v>
      </c>
      <c r="J15" s="16" t="n">
        <v>1</v>
      </c>
      <c r="K15" s="17" t="n">
        <v>-0.048</v>
      </c>
      <c r="L15" s="11" t="s">
        <v>20</v>
      </c>
      <c r="M15" s="13" t="n">
        <f aca="false">IF(Q15="sim",0,IFERROR(INDEX(Premissas!$C$8:$C$15,MATCH(L15,Premissas!$A$8:$A$15,0)),0))</f>
        <v>0.035</v>
      </c>
      <c r="N15" s="18" t="n">
        <f aca="false">Premissas!$B$4*M15</f>
        <v>3500</v>
      </c>
      <c r="O15" s="18" t="n">
        <f aca="false">N15*K15</f>
        <v>-168</v>
      </c>
      <c r="P15" s="18" t="n">
        <f aca="false">P14+O15</f>
        <v>649.55</v>
      </c>
      <c r="Q15" s="11" t="s">
        <v>51</v>
      </c>
    </row>
    <row r="16" customFormat="false" ht="15" hidden="false" customHeight="false" outlineLevel="0" collapsed="false">
      <c r="A16" s="11" t="n">
        <v>15</v>
      </c>
      <c r="B16" s="11" t="s">
        <v>64</v>
      </c>
      <c r="C16" s="11" t="s">
        <v>49</v>
      </c>
      <c r="D16" s="11" t="s">
        <v>50</v>
      </c>
      <c r="E16" s="12"/>
      <c r="F16" s="13" t="n">
        <v>0.3233</v>
      </c>
      <c r="G16" s="14" t="n">
        <v>1.273</v>
      </c>
      <c r="H16" s="15" t="n">
        <v>46030</v>
      </c>
      <c r="I16" s="15" t="n">
        <v>46037</v>
      </c>
      <c r="J16" s="16" t="n">
        <v>7</v>
      </c>
      <c r="K16" s="17" t="n">
        <v>-0.0279</v>
      </c>
      <c r="L16" s="11" t="s">
        <v>20</v>
      </c>
      <c r="M16" s="13" t="n">
        <f aca="false">IF(Q16="sim",0,IFERROR(INDEX(Premissas!$C$8:$C$15,MATCH(L16,Premissas!$A$8:$A$15,0)),0))</f>
        <v>0.035</v>
      </c>
      <c r="N16" s="18" t="n">
        <f aca="false">Premissas!$B$4*M16</f>
        <v>3500</v>
      </c>
      <c r="O16" s="18" t="n">
        <f aca="false">N16*K16</f>
        <v>-97.65</v>
      </c>
      <c r="P16" s="18" t="n">
        <f aca="false">P15+O16</f>
        <v>551.9</v>
      </c>
      <c r="Q16" s="11" t="s">
        <v>51</v>
      </c>
    </row>
    <row r="17" customFormat="false" ht="15" hidden="false" customHeight="false" outlineLevel="0" collapsed="false">
      <c r="A17" s="11" t="n">
        <v>16</v>
      </c>
      <c r="B17" s="11" t="s">
        <v>65</v>
      </c>
      <c r="C17" s="11" t="s">
        <v>49</v>
      </c>
      <c r="D17" s="11" t="s">
        <v>50</v>
      </c>
      <c r="E17" s="12"/>
      <c r="F17" s="13" t="n">
        <v>0.3622</v>
      </c>
      <c r="G17" s="14" t="n">
        <v>2.058</v>
      </c>
      <c r="H17" s="15" t="n">
        <v>46036</v>
      </c>
      <c r="I17" s="15" t="n">
        <v>46037</v>
      </c>
      <c r="J17" s="16" t="n">
        <v>1</v>
      </c>
      <c r="K17" s="17" t="n">
        <v>-0.0184</v>
      </c>
      <c r="L17" s="11" t="s">
        <v>20</v>
      </c>
      <c r="M17" s="13" t="n">
        <f aca="false">IF(Q17="sim",0,IFERROR(INDEX(Premissas!$C$8:$C$15,MATCH(L17,Premissas!$A$8:$A$15,0)),0))</f>
        <v>0.035</v>
      </c>
      <c r="N17" s="18" t="n">
        <f aca="false">Premissas!$B$4*M17</f>
        <v>3500</v>
      </c>
      <c r="O17" s="18" t="n">
        <f aca="false">N17*K17</f>
        <v>-64.4</v>
      </c>
      <c r="P17" s="18" t="n">
        <f aca="false">P16+O17</f>
        <v>487.5</v>
      </c>
      <c r="Q17" s="11" t="s">
        <v>51</v>
      </c>
    </row>
    <row r="18" customFormat="false" ht="15" hidden="false" customHeight="false" outlineLevel="0" collapsed="false">
      <c r="A18" s="11" t="n">
        <v>17</v>
      </c>
      <c r="B18" s="11" t="s">
        <v>66</v>
      </c>
      <c r="C18" s="11" t="s">
        <v>49</v>
      </c>
      <c r="D18" s="11" t="s">
        <v>50</v>
      </c>
      <c r="E18" s="12"/>
      <c r="F18" s="13" t="n">
        <v>0.453</v>
      </c>
      <c r="G18" s="14" t="n">
        <v>1.4</v>
      </c>
      <c r="H18" s="15" t="n">
        <v>46035</v>
      </c>
      <c r="I18" s="15" t="n">
        <v>46037</v>
      </c>
      <c r="J18" s="16" t="n">
        <v>2</v>
      </c>
      <c r="K18" s="17" t="n">
        <v>0.0536</v>
      </c>
      <c r="L18" s="11" t="s">
        <v>20</v>
      </c>
      <c r="M18" s="13" t="n">
        <f aca="false">IF(Q18="sim",0,IFERROR(INDEX(Premissas!$C$8:$C$15,MATCH(L18,Premissas!$A$8:$A$15,0)),0))</f>
        <v>0.035</v>
      </c>
      <c r="N18" s="18" t="n">
        <f aca="false">Premissas!$B$4*M18</f>
        <v>3500</v>
      </c>
      <c r="O18" s="18" t="n">
        <f aca="false">N18*K18</f>
        <v>187.6</v>
      </c>
      <c r="P18" s="18" t="n">
        <f aca="false">P17+O18</f>
        <v>675.1</v>
      </c>
      <c r="Q18" s="11" t="s">
        <v>51</v>
      </c>
    </row>
    <row r="19" customFormat="false" ht="15" hidden="false" customHeight="false" outlineLevel="0" collapsed="false">
      <c r="A19" s="11" t="n">
        <v>18</v>
      </c>
      <c r="B19" s="11" t="s">
        <v>67</v>
      </c>
      <c r="C19" s="11" t="s">
        <v>49</v>
      </c>
      <c r="D19" s="11" t="s">
        <v>50</v>
      </c>
      <c r="E19" s="12"/>
      <c r="F19" s="13" t="n">
        <v>0.4583</v>
      </c>
      <c r="G19" s="14" t="n">
        <v>2.122</v>
      </c>
      <c r="H19" s="15" t="n">
        <v>46027</v>
      </c>
      <c r="I19" s="15" t="n">
        <v>46037</v>
      </c>
      <c r="J19" s="16" t="n">
        <v>10</v>
      </c>
      <c r="K19" s="17" t="n">
        <v>0.0501</v>
      </c>
      <c r="L19" s="11" t="s">
        <v>20</v>
      </c>
      <c r="M19" s="13" t="n">
        <f aca="false">IF(Q19="sim",0,IFERROR(INDEX(Premissas!$C$8:$C$15,MATCH(L19,Premissas!$A$8:$A$15,0)),0))</f>
        <v>0.035</v>
      </c>
      <c r="N19" s="18" t="n">
        <f aca="false">Premissas!$B$4*M19</f>
        <v>3500</v>
      </c>
      <c r="O19" s="18" t="n">
        <f aca="false">N19*K19</f>
        <v>175.35</v>
      </c>
      <c r="P19" s="18" t="n">
        <f aca="false">P18+O19</f>
        <v>850.45</v>
      </c>
      <c r="Q19" s="11" t="s">
        <v>51</v>
      </c>
    </row>
    <row r="20" customFormat="false" ht="15" hidden="false" customHeight="false" outlineLevel="0" collapsed="false">
      <c r="A20" s="11" t="n">
        <v>19</v>
      </c>
      <c r="B20" s="11" t="s">
        <v>68</v>
      </c>
      <c r="C20" s="11" t="s">
        <v>49</v>
      </c>
      <c r="D20" s="11" t="s">
        <v>50</v>
      </c>
      <c r="E20" s="12"/>
      <c r="F20" s="13" t="n">
        <v>0.4561</v>
      </c>
      <c r="G20" s="14" t="n">
        <v>1.046</v>
      </c>
      <c r="H20" s="15" t="n">
        <v>46037</v>
      </c>
      <c r="I20" s="15" t="n">
        <v>46038</v>
      </c>
      <c r="J20" s="16" t="n">
        <v>1</v>
      </c>
      <c r="K20" s="17" t="n">
        <v>-0.0017</v>
      </c>
      <c r="L20" s="11" t="s">
        <v>20</v>
      </c>
      <c r="M20" s="13" t="n">
        <f aca="false">IF(Q20="sim",0,IFERROR(INDEX(Premissas!$C$8:$C$15,MATCH(L20,Premissas!$A$8:$A$15,0)),0))</f>
        <v>0.035</v>
      </c>
      <c r="N20" s="18" t="n">
        <f aca="false">Premissas!$B$4*M20</f>
        <v>3500</v>
      </c>
      <c r="O20" s="18" t="n">
        <f aca="false">N20*K20</f>
        <v>-5.95</v>
      </c>
      <c r="P20" s="18" t="n">
        <f aca="false">P19+O20</f>
        <v>844.5</v>
      </c>
      <c r="Q20" s="11" t="s">
        <v>51</v>
      </c>
    </row>
    <row r="21" customFormat="false" ht="15" hidden="false" customHeight="false" outlineLevel="0" collapsed="false">
      <c r="A21" s="11" t="n">
        <v>20</v>
      </c>
      <c r="B21" s="11" t="s">
        <v>69</v>
      </c>
      <c r="C21" s="11" t="s">
        <v>49</v>
      </c>
      <c r="D21" s="11" t="s">
        <v>50</v>
      </c>
      <c r="E21" s="12"/>
      <c r="F21" s="13" t="n">
        <v>0.3438</v>
      </c>
      <c r="G21" s="14" t="n">
        <v>1.169</v>
      </c>
      <c r="H21" s="15" t="n">
        <v>46036</v>
      </c>
      <c r="I21" s="15" t="n">
        <v>46038</v>
      </c>
      <c r="J21" s="16" t="n">
        <v>2</v>
      </c>
      <c r="K21" s="17" t="n">
        <v>-0.0331</v>
      </c>
      <c r="L21" s="11" t="s">
        <v>20</v>
      </c>
      <c r="M21" s="13" t="n">
        <f aca="false">IF(Q21="sim",0,IFERROR(INDEX(Premissas!$C$8:$C$15,MATCH(L21,Premissas!$A$8:$A$15,0)),0))</f>
        <v>0.035</v>
      </c>
      <c r="N21" s="18" t="n">
        <f aca="false">Premissas!$B$4*M21</f>
        <v>3500</v>
      </c>
      <c r="O21" s="18" t="n">
        <f aca="false">N21*K21</f>
        <v>-115.85</v>
      </c>
      <c r="P21" s="18" t="n">
        <f aca="false">P20+O21</f>
        <v>728.65</v>
      </c>
      <c r="Q21" s="11" t="s">
        <v>51</v>
      </c>
    </row>
    <row r="22" customFormat="false" ht="15" hidden="false" customHeight="false" outlineLevel="0" collapsed="false">
      <c r="A22" s="11" t="n">
        <v>21</v>
      </c>
      <c r="B22" s="11" t="s">
        <v>70</v>
      </c>
      <c r="C22" s="11" t="s">
        <v>49</v>
      </c>
      <c r="D22" s="11" t="s">
        <v>50</v>
      </c>
      <c r="E22" s="12"/>
      <c r="F22" s="13" t="n">
        <v>0.6111</v>
      </c>
      <c r="G22" s="14" t="n">
        <v>1.612</v>
      </c>
      <c r="H22" s="15" t="n">
        <v>46037</v>
      </c>
      <c r="I22" s="15" t="n">
        <v>46038</v>
      </c>
      <c r="J22" s="16" t="n">
        <v>1</v>
      </c>
      <c r="K22" s="17" t="n">
        <v>-0.0041</v>
      </c>
      <c r="L22" s="11" t="s">
        <v>10</v>
      </c>
      <c r="M22" s="13" t="n">
        <f aca="false">IF(Q22="sim",0,IFERROR(INDEX(Premissas!$C$8:$C$15,MATCH(L22,Premissas!$A$8:$A$15,0)),0))</f>
        <v>0.1</v>
      </c>
      <c r="N22" s="18" t="n">
        <f aca="false">Premissas!$B$4*M22</f>
        <v>10000</v>
      </c>
      <c r="O22" s="18" t="n">
        <f aca="false">N22*K22</f>
        <v>-41</v>
      </c>
      <c r="P22" s="18" t="n">
        <f aca="false">P21+O22</f>
        <v>687.65</v>
      </c>
      <c r="Q22" s="11" t="s">
        <v>51</v>
      </c>
    </row>
    <row r="23" customFormat="false" ht="15" hidden="false" customHeight="false" outlineLevel="0" collapsed="false">
      <c r="A23" s="11" t="n">
        <v>22</v>
      </c>
      <c r="B23" s="11" t="s">
        <v>71</v>
      </c>
      <c r="C23" s="11" t="s">
        <v>49</v>
      </c>
      <c r="D23" s="11" t="s">
        <v>50</v>
      </c>
      <c r="E23" s="12"/>
      <c r="F23" s="13" t="n">
        <v>0.5565</v>
      </c>
      <c r="G23" s="14" t="n">
        <v>1.701</v>
      </c>
      <c r="H23" s="15" t="n">
        <v>46027</v>
      </c>
      <c r="I23" s="15" t="n">
        <v>46038</v>
      </c>
      <c r="J23" s="16" t="n">
        <v>11</v>
      </c>
      <c r="K23" s="17" t="n">
        <v>0.0562</v>
      </c>
      <c r="L23" s="11" t="s">
        <v>20</v>
      </c>
      <c r="M23" s="13" t="n">
        <f aca="false">IF(Q23="sim",0,IFERROR(INDEX(Premissas!$C$8:$C$15,MATCH(L23,Premissas!$A$8:$A$15,0)),0))</f>
        <v>0.035</v>
      </c>
      <c r="N23" s="18" t="n">
        <f aca="false">Premissas!$B$4*M23</f>
        <v>3500</v>
      </c>
      <c r="O23" s="18" t="n">
        <f aca="false">N23*K23</f>
        <v>196.7</v>
      </c>
      <c r="P23" s="18" t="n">
        <f aca="false">P22+O23</f>
        <v>884.35</v>
      </c>
      <c r="Q23" s="11" t="s">
        <v>51</v>
      </c>
    </row>
    <row r="24" customFormat="false" ht="15" hidden="false" customHeight="false" outlineLevel="0" collapsed="false">
      <c r="A24" s="11" t="n">
        <v>23</v>
      </c>
      <c r="B24" s="11" t="s">
        <v>72</v>
      </c>
      <c r="C24" s="11" t="s">
        <v>49</v>
      </c>
      <c r="D24" s="11" t="s">
        <v>50</v>
      </c>
      <c r="E24" s="12"/>
      <c r="F24" s="13" t="n">
        <v>0.6875</v>
      </c>
      <c r="G24" s="14"/>
      <c r="H24" s="15" t="n">
        <v>46042</v>
      </c>
      <c r="I24" s="15" t="n">
        <v>46042</v>
      </c>
      <c r="J24" s="16" t="n">
        <v>0</v>
      </c>
      <c r="K24" s="17" t="n">
        <v>0</v>
      </c>
      <c r="L24" s="11" t="s">
        <v>20</v>
      </c>
      <c r="M24" s="13" t="n">
        <f aca="false">IF(Q24="sim",0,IFERROR(INDEX(Premissas!$C$8:$C$15,MATCH(L24,Premissas!$A$8:$A$15,0)),0))</f>
        <v>0.035</v>
      </c>
      <c r="N24" s="18" t="n">
        <f aca="false">Premissas!$B$4*M24</f>
        <v>3500</v>
      </c>
      <c r="O24" s="18" t="n">
        <f aca="false">N24*K24</f>
        <v>0</v>
      </c>
      <c r="P24" s="18" t="n">
        <f aca="false">P23+O24</f>
        <v>884.35</v>
      </c>
      <c r="Q24" s="11" t="s">
        <v>51</v>
      </c>
    </row>
    <row r="25" customFormat="false" ht="15" hidden="false" customHeight="false" outlineLevel="0" collapsed="false">
      <c r="A25" s="11" t="n">
        <v>24</v>
      </c>
      <c r="B25" s="11" t="s">
        <v>73</v>
      </c>
      <c r="C25" s="11" t="s">
        <v>49</v>
      </c>
      <c r="D25" s="11" t="s">
        <v>50</v>
      </c>
      <c r="E25" s="12"/>
      <c r="F25" s="13" t="n">
        <v>0.6944</v>
      </c>
      <c r="G25" s="14" t="n">
        <v>3.062</v>
      </c>
      <c r="H25" s="15" t="n">
        <v>46035</v>
      </c>
      <c r="I25" s="15" t="n">
        <v>46042</v>
      </c>
      <c r="J25" s="16" t="n">
        <v>7</v>
      </c>
      <c r="K25" s="17" t="n">
        <v>-0.1095</v>
      </c>
      <c r="L25" s="11" t="s">
        <v>20</v>
      </c>
      <c r="M25" s="13" t="n">
        <f aca="false">IF(Q25="sim",0,IFERROR(INDEX(Premissas!$C$8:$C$15,MATCH(L25,Premissas!$A$8:$A$15,0)),0))</f>
        <v>0.035</v>
      </c>
      <c r="N25" s="18" t="n">
        <f aca="false">Premissas!$B$4*M25</f>
        <v>3500</v>
      </c>
      <c r="O25" s="18" t="n">
        <f aca="false">N25*K25</f>
        <v>-383.25</v>
      </c>
      <c r="P25" s="18" t="n">
        <f aca="false">P24+O25</f>
        <v>501.1</v>
      </c>
      <c r="Q25" s="11" t="s">
        <v>51</v>
      </c>
    </row>
    <row r="26" customFormat="false" ht="15" hidden="false" customHeight="false" outlineLevel="0" collapsed="false">
      <c r="A26" s="11" t="n">
        <v>25</v>
      </c>
      <c r="B26" s="11" t="s">
        <v>74</v>
      </c>
      <c r="C26" s="11" t="s">
        <v>49</v>
      </c>
      <c r="D26" s="11" t="s">
        <v>50</v>
      </c>
      <c r="E26" s="12"/>
      <c r="F26" s="13" t="n">
        <v>0.6949</v>
      </c>
      <c r="G26" s="14" t="n">
        <v>2.301</v>
      </c>
      <c r="H26" s="15" t="n">
        <v>46037</v>
      </c>
      <c r="I26" s="15" t="n">
        <v>46042</v>
      </c>
      <c r="J26" s="16" t="n">
        <v>5</v>
      </c>
      <c r="K26" s="17" t="n">
        <v>-0.0477</v>
      </c>
      <c r="L26" s="11" t="s">
        <v>20</v>
      </c>
      <c r="M26" s="13" t="n">
        <f aca="false">IF(Q26="sim",0,IFERROR(INDEX(Premissas!$C$8:$C$15,MATCH(L26,Premissas!$A$8:$A$15,0)),0))</f>
        <v>0.035</v>
      </c>
      <c r="N26" s="18" t="n">
        <f aca="false">Premissas!$B$4*M26</f>
        <v>3500</v>
      </c>
      <c r="O26" s="18" t="n">
        <f aca="false">N26*K26</f>
        <v>-166.95</v>
      </c>
      <c r="P26" s="18" t="n">
        <f aca="false">P25+O26</f>
        <v>334.15</v>
      </c>
      <c r="Q26" s="11" t="s">
        <v>51</v>
      </c>
    </row>
    <row r="27" customFormat="false" ht="15" hidden="false" customHeight="false" outlineLevel="0" collapsed="false">
      <c r="A27" s="11" t="n">
        <v>26</v>
      </c>
      <c r="B27" s="11" t="s">
        <v>75</v>
      </c>
      <c r="C27" s="11" t="s">
        <v>49</v>
      </c>
      <c r="D27" s="11" t="s">
        <v>50</v>
      </c>
      <c r="E27" s="12"/>
      <c r="F27" s="13" t="n">
        <v>0.3333</v>
      </c>
      <c r="G27" s="14"/>
      <c r="H27" s="15" t="n">
        <v>46037</v>
      </c>
      <c r="I27" s="15" t="n">
        <v>46042</v>
      </c>
      <c r="J27" s="16" t="n">
        <v>5</v>
      </c>
      <c r="K27" s="17" t="n">
        <v>-0.0462</v>
      </c>
      <c r="L27" s="11" t="s">
        <v>20</v>
      </c>
      <c r="M27" s="13" t="n">
        <f aca="false">IF(Q27="sim",0,IFERROR(INDEX(Premissas!$C$8:$C$15,MATCH(L27,Premissas!$A$8:$A$15,0)),0))</f>
        <v>0.035</v>
      </c>
      <c r="N27" s="18" t="n">
        <f aca="false">Premissas!$B$4*M27</f>
        <v>3500</v>
      </c>
      <c r="O27" s="18" t="n">
        <f aca="false">N27*K27</f>
        <v>-161.7</v>
      </c>
      <c r="P27" s="18" t="n">
        <f aca="false">P26+O27</f>
        <v>172.45</v>
      </c>
      <c r="Q27" s="11" t="s">
        <v>51</v>
      </c>
    </row>
    <row r="28" customFormat="false" ht="15" hidden="false" customHeight="false" outlineLevel="0" collapsed="false">
      <c r="A28" s="11" t="n">
        <v>27</v>
      </c>
      <c r="B28" s="11" t="s">
        <v>76</v>
      </c>
      <c r="C28" s="11" t="s">
        <v>49</v>
      </c>
      <c r="D28" s="11" t="s">
        <v>50</v>
      </c>
      <c r="E28" s="12"/>
      <c r="F28" s="13" t="n">
        <v>0.7059</v>
      </c>
      <c r="G28" s="14"/>
      <c r="H28" s="15" t="n">
        <v>46034</v>
      </c>
      <c r="I28" s="15" t="n">
        <v>46042</v>
      </c>
      <c r="J28" s="16" t="n">
        <v>8</v>
      </c>
      <c r="K28" s="17" t="n">
        <v>0.0507</v>
      </c>
      <c r="L28" s="11" t="s">
        <v>20</v>
      </c>
      <c r="M28" s="13" t="n">
        <f aca="false">IF(Q28="sim",0,IFERROR(INDEX(Premissas!$C$8:$C$15,MATCH(L28,Premissas!$A$8:$A$15,0)),0))</f>
        <v>0.035</v>
      </c>
      <c r="N28" s="18" t="n">
        <f aca="false">Premissas!$B$4*M28</f>
        <v>3500</v>
      </c>
      <c r="O28" s="18" t="n">
        <f aca="false">N28*K28</f>
        <v>177.45</v>
      </c>
      <c r="P28" s="18" t="n">
        <f aca="false">P27+O28</f>
        <v>349.9</v>
      </c>
      <c r="Q28" s="11" t="s">
        <v>51</v>
      </c>
    </row>
    <row r="29" customFormat="false" ht="15" hidden="false" customHeight="false" outlineLevel="0" collapsed="false">
      <c r="A29" s="11" t="n">
        <v>28</v>
      </c>
      <c r="B29" s="11" t="s">
        <v>77</v>
      </c>
      <c r="C29" s="11" t="s">
        <v>49</v>
      </c>
      <c r="D29" s="11" t="s">
        <v>50</v>
      </c>
      <c r="E29" s="12"/>
      <c r="F29" s="13" t="n">
        <v>0.4679</v>
      </c>
      <c r="G29" s="14" t="n">
        <v>1.435</v>
      </c>
      <c r="H29" s="15" t="n">
        <v>46038</v>
      </c>
      <c r="I29" s="15" t="n">
        <v>46043</v>
      </c>
      <c r="J29" s="16" t="n">
        <v>5</v>
      </c>
      <c r="K29" s="17" t="n">
        <v>-0.0354</v>
      </c>
      <c r="L29" s="11" t="s">
        <v>20</v>
      </c>
      <c r="M29" s="13" t="n">
        <f aca="false">IF(Q29="sim",0,IFERROR(INDEX(Premissas!$C$8:$C$15,MATCH(L29,Premissas!$A$8:$A$15,0)),0))</f>
        <v>0.035</v>
      </c>
      <c r="N29" s="18" t="n">
        <f aca="false">Premissas!$B$4*M29</f>
        <v>3500</v>
      </c>
      <c r="O29" s="18" t="n">
        <f aca="false">N29*K29</f>
        <v>-123.9</v>
      </c>
      <c r="P29" s="18" t="n">
        <f aca="false">P28+O29</f>
        <v>226</v>
      </c>
      <c r="Q29" s="11" t="s">
        <v>51</v>
      </c>
    </row>
    <row r="30" customFormat="false" ht="15" hidden="false" customHeight="false" outlineLevel="0" collapsed="false">
      <c r="A30" s="11" t="n">
        <v>29</v>
      </c>
      <c r="B30" s="11" t="s">
        <v>72</v>
      </c>
      <c r="C30" s="11" t="s">
        <v>49</v>
      </c>
      <c r="D30" s="11" t="s">
        <v>50</v>
      </c>
      <c r="E30" s="12"/>
      <c r="F30" s="13" t="n">
        <v>0.6875</v>
      </c>
      <c r="G30" s="14"/>
      <c r="H30" s="15" t="n">
        <v>46042</v>
      </c>
      <c r="I30" s="15" t="n">
        <v>46043</v>
      </c>
      <c r="J30" s="16" t="n">
        <v>1</v>
      </c>
      <c r="K30" s="17" t="n">
        <v>-0.0059</v>
      </c>
      <c r="L30" s="11" t="s">
        <v>20</v>
      </c>
      <c r="M30" s="13" t="n">
        <f aca="false">IF(Q30="sim",0,IFERROR(INDEX(Premissas!$C$8:$C$15,MATCH(L30,Premissas!$A$8:$A$15,0)),0))</f>
        <v>0.035</v>
      </c>
      <c r="N30" s="18" t="n">
        <f aca="false">Premissas!$B$4*M30</f>
        <v>3500</v>
      </c>
      <c r="O30" s="18" t="n">
        <f aca="false">N30*K30</f>
        <v>-20.65</v>
      </c>
      <c r="P30" s="18" t="n">
        <f aca="false">P29+O30</f>
        <v>205.35</v>
      </c>
      <c r="Q30" s="11" t="s">
        <v>51</v>
      </c>
    </row>
    <row r="31" customFormat="false" ht="15" hidden="false" customHeight="false" outlineLevel="0" collapsed="false">
      <c r="A31" s="11" t="n">
        <v>30</v>
      </c>
      <c r="B31" s="11" t="s">
        <v>78</v>
      </c>
      <c r="C31" s="11" t="s">
        <v>49</v>
      </c>
      <c r="D31" s="11" t="s">
        <v>50</v>
      </c>
      <c r="E31" s="12"/>
      <c r="F31" s="13" t="n">
        <v>0.625</v>
      </c>
      <c r="G31" s="14" t="n">
        <v>0.779</v>
      </c>
      <c r="H31" s="15" t="n">
        <v>46042</v>
      </c>
      <c r="I31" s="15" t="n">
        <v>46043</v>
      </c>
      <c r="J31" s="16" t="n">
        <v>1</v>
      </c>
      <c r="K31" s="17" t="n">
        <v>0.0327</v>
      </c>
      <c r="L31" s="11" t="s">
        <v>20</v>
      </c>
      <c r="M31" s="13" t="n">
        <f aca="false">IF(Q31="sim",0,IFERROR(INDEX(Premissas!$C$8:$C$15,MATCH(L31,Premissas!$A$8:$A$15,0)),0))</f>
        <v>0.035</v>
      </c>
      <c r="N31" s="18" t="n">
        <f aca="false">Premissas!$B$4*M31</f>
        <v>3500</v>
      </c>
      <c r="O31" s="18" t="n">
        <f aca="false">N31*K31</f>
        <v>114.45</v>
      </c>
      <c r="P31" s="18" t="n">
        <f aca="false">P30+O31</f>
        <v>319.8</v>
      </c>
      <c r="Q31" s="11" t="s">
        <v>51</v>
      </c>
    </row>
    <row r="32" customFormat="false" ht="15" hidden="false" customHeight="false" outlineLevel="0" collapsed="false">
      <c r="A32" s="11" t="n">
        <v>31</v>
      </c>
      <c r="B32" s="11" t="s">
        <v>79</v>
      </c>
      <c r="C32" s="11" t="s">
        <v>49</v>
      </c>
      <c r="D32" s="11" t="s">
        <v>50</v>
      </c>
      <c r="E32" s="12"/>
      <c r="F32" s="13" t="n">
        <v>0.7414</v>
      </c>
      <c r="G32" s="14" t="n">
        <v>1.413</v>
      </c>
      <c r="H32" s="15" t="n">
        <v>46037</v>
      </c>
      <c r="I32" s="15" t="n">
        <v>46043</v>
      </c>
      <c r="J32" s="16" t="n">
        <v>6</v>
      </c>
      <c r="K32" s="17" t="n">
        <v>-0.0256</v>
      </c>
      <c r="L32" s="11" t="s">
        <v>10</v>
      </c>
      <c r="M32" s="13" t="n">
        <f aca="false">IF(Q32="sim",0,IFERROR(INDEX(Premissas!$C$8:$C$15,MATCH(L32,Premissas!$A$8:$A$15,0)),0))</f>
        <v>0.1</v>
      </c>
      <c r="N32" s="18" t="n">
        <f aca="false">Premissas!$B$4*M32</f>
        <v>10000</v>
      </c>
      <c r="O32" s="18" t="n">
        <f aca="false">N32*K32</f>
        <v>-256</v>
      </c>
      <c r="P32" s="18" t="n">
        <f aca="false">P31+O32</f>
        <v>63.7999999999998</v>
      </c>
      <c r="Q32" s="11" t="s">
        <v>51</v>
      </c>
    </row>
    <row r="33" customFormat="false" ht="15" hidden="false" customHeight="false" outlineLevel="0" collapsed="false">
      <c r="A33" s="11" t="n">
        <v>32</v>
      </c>
      <c r="B33" s="11" t="s">
        <v>80</v>
      </c>
      <c r="C33" s="11" t="s">
        <v>49</v>
      </c>
      <c r="D33" s="11" t="s">
        <v>50</v>
      </c>
      <c r="E33" s="12"/>
      <c r="F33" s="13" t="n">
        <v>0.6783</v>
      </c>
      <c r="G33" s="14" t="n">
        <v>1.3</v>
      </c>
      <c r="H33" s="15" t="n">
        <v>46028</v>
      </c>
      <c r="I33" s="15" t="n">
        <v>46043</v>
      </c>
      <c r="J33" s="16" t="n">
        <v>15</v>
      </c>
      <c r="K33" s="17" t="n">
        <v>0.0514</v>
      </c>
      <c r="L33" s="11" t="s">
        <v>20</v>
      </c>
      <c r="M33" s="13" t="n">
        <f aca="false">IF(Q33="sim",0,IFERROR(INDEX(Premissas!$C$8:$C$15,MATCH(L33,Premissas!$A$8:$A$15,0)),0))</f>
        <v>0.035</v>
      </c>
      <c r="N33" s="18" t="n">
        <f aca="false">Premissas!$B$4*M33</f>
        <v>3500</v>
      </c>
      <c r="O33" s="18" t="n">
        <f aca="false">N33*K33</f>
        <v>179.9</v>
      </c>
      <c r="P33" s="18" t="n">
        <f aca="false">P32+O33</f>
        <v>243.7</v>
      </c>
      <c r="Q33" s="11" t="s">
        <v>51</v>
      </c>
    </row>
    <row r="34" customFormat="false" ht="15" hidden="false" customHeight="false" outlineLevel="0" collapsed="false">
      <c r="A34" s="11" t="n">
        <v>33</v>
      </c>
      <c r="B34" s="11" t="s">
        <v>81</v>
      </c>
      <c r="C34" s="11" t="s">
        <v>49</v>
      </c>
      <c r="D34" s="11" t="s">
        <v>50</v>
      </c>
      <c r="E34" s="12"/>
      <c r="F34" s="13" t="n">
        <v>0.592</v>
      </c>
      <c r="G34" s="14" t="n">
        <v>1.567</v>
      </c>
      <c r="H34" s="15" t="n">
        <v>46038</v>
      </c>
      <c r="I34" s="15" t="n">
        <v>46043</v>
      </c>
      <c r="J34" s="16" t="n">
        <v>5</v>
      </c>
      <c r="K34" s="17" t="n">
        <v>0.0517</v>
      </c>
      <c r="L34" s="11" t="s">
        <v>20</v>
      </c>
      <c r="M34" s="13" t="n">
        <f aca="false">IF(Q34="sim",0,IFERROR(INDEX(Premissas!$C$8:$C$15,MATCH(L34,Premissas!$A$8:$A$15,0)),0))</f>
        <v>0.035</v>
      </c>
      <c r="N34" s="18" t="n">
        <f aca="false">Premissas!$B$4*M34</f>
        <v>3500</v>
      </c>
      <c r="O34" s="18" t="n">
        <f aca="false">N34*K34</f>
        <v>180.95</v>
      </c>
      <c r="P34" s="18" t="n">
        <f aca="false">P33+O34</f>
        <v>424.65</v>
      </c>
      <c r="Q34" s="11" t="s">
        <v>51</v>
      </c>
    </row>
    <row r="35" customFormat="false" ht="15" hidden="false" customHeight="false" outlineLevel="0" collapsed="false">
      <c r="A35" s="11" t="n">
        <v>34</v>
      </c>
      <c r="B35" s="11" t="s">
        <v>82</v>
      </c>
      <c r="C35" s="11" t="s">
        <v>49</v>
      </c>
      <c r="D35" s="11" t="s">
        <v>50</v>
      </c>
      <c r="E35" s="12"/>
      <c r="F35" s="13" t="n">
        <v>0.5309</v>
      </c>
      <c r="G35" s="14" t="n">
        <v>0.92</v>
      </c>
      <c r="H35" s="15" t="n">
        <v>46038</v>
      </c>
      <c r="I35" s="15" t="n">
        <v>46043</v>
      </c>
      <c r="J35" s="16" t="n">
        <v>5</v>
      </c>
      <c r="K35" s="17" t="n">
        <v>0.051</v>
      </c>
      <c r="L35" s="11" t="s">
        <v>20</v>
      </c>
      <c r="M35" s="13" t="n">
        <f aca="false">IF(Q35="sim",0,IFERROR(INDEX(Premissas!$C$8:$C$15,MATCH(L35,Premissas!$A$8:$A$15,0)),0))</f>
        <v>0.035</v>
      </c>
      <c r="N35" s="18" t="n">
        <f aca="false">Premissas!$B$4*M35</f>
        <v>3500</v>
      </c>
      <c r="O35" s="18" t="n">
        <f aca="false">N35*K35</f>
        <v>178.5</v>
      </c>
      <c r="P35" s="18" t="n">
        <f aca="false">P34+O35</f>
        <v>603.15</v>
      </c>
      <c r="Q35" s="11" t="s">
        <v>51</v>
      </c>
    </row>
    <row r="36" customFormat="false" ht="15" hidden="false" customHeight="false" outlineLevel="0" collapsed="false">
      <c r="A36" s="11" t="n">
        <v>35</v>
      </c>
      <c r="B36" s="11" t="s">
        <v>83</v>
      </c>
      <c r="C36" s="11" t="s">
        <v>49</v>
      </c>
      <c r="D36" s="11" t="s">
        <v>50</v>
      </c>
      <c r="E36" s="12"/>
      <c r="F36" s="13" t="n">
        <v>0.7333</v>
      </c>
      <c r="G36" s="14"/>
      <c r="H36" s="15" t="n">
        <v>46043</v>
      </c>
      <c r="I36" s="15" t="n">
        <v>46044</v>
      </c>
      <c r="J36" s="16" t="n">
        <v>1</v>
      </c>
      <c r="K36" s="17" t="n">
        <v>0.0652</v>
      </c>
      <c r="L36" s="11" t="s">
        <v>20</v>
      </c>
      <c r="M36" s="13" t="n">
        <f aca="false">IF(Q36="sim",0,IFERROR(INDEX(Premissas!$C$8:$C$15,MATCH(L36,Premissas!$A$8:$A$15,0)),0))</f>
        <v>0.035</v>
      </c>
      <c r="N36" s="18" t="n">
        <f aca="false">Premissas!$B$4*M36</f>
        <v>3500</v>
      </c>
      <c r="O36" s="18" t="n">
        <f aca="false">N36*K36</f>
        <v>228.2</v>
      </c>
      <c r="P36" s="18" t="n">
        <f aca="false">P35+O36</f>
        <v>831.35</v>
      </c>
      <c r="Q36" s="11" t="s">
        <v>51</v>
      </c>
    </row>
    <row r="37" customFormat="false" ht="15" hidden="false" customHeight="false" outlineLevel="0" collapsed="false">
      <c r="A37" s="11" t="n">
        <v>36</v>
      </c>
      <c r="B37" s="11" t="s">
        <v>84</v>
      </c>
      <c r="C37" s="11" t="s">
        <v>49</v>
      </c>
      <c r="D37" s="11" t="s">
        <v>50</v>
      </c>
      <c r="E37" s="12"/>
      <c r="F37" s="13" t="n">
        <v>0.4734</v>
      </c>
      <c r="G37" s="14" t="n">
        <v>1.307</v>
      </c>
      <c r="H37" s="15" t="n">
        <v>46024</v>
      </c>
      <c r="I37" s="15" t="n">
        <v>46044</v>
      </c>
      <c r="J37" s="16" t="n">
        <v>20</v>
      </c>
      <c r="K37" s="17" t="n">
        <v>0.05</v>
      </c>
      <c r="L37" s="11" t="s">
        <v>20</v>
      </c>
      <c r="M37" s="13" t="n">
        <f aca="false">IF(Q37="sim",0,IFERROR(INDEX(Premissas!$C$8:$C$15,MATCH(L37,Premissas!$A$8:$A$15,0)),0))</f>
        <v>0.035</v>
      </c>
      <c r="N37" s="18" t="n">
        <f aca="false">Premissas!$B$4*M37</f>
        <v>3500</v>
      </c>
      <c r="O37" s="18" t="n">
        <f aca="false">N37*K37</f>
        <v>175</v>
      </c>
      <c r="P37" s="18" t="n">
        <f aca="false">P36+O37</f>
        <v>1006.35</v>
      </c>
      <c r="Q37" s="11" t="s">
        <v>51</v>
      </c>
    </row>
    <row r="38" customFormat="false" ht="15" hidden="false" customHeight="false" outlineLevel="0" collapsed="false">
      <c r="A38" s="11" t="n">
        <v>37</v>
      </c>
      <c r="B38" s="11" t="s">
        <v>85</v>
      </c>
      <c r="C38" s="11" t="s">
        <v>49</v>
      </c>
      <c r="D38" s="11" t="s">
        <v>50</v>
      </c>
      <c r="E38" s="12"/>
      <c r="F38" s="13" t="n">
        <v>0.4091</v>
      </c>
      <c r="G38" s="14"/>
      <c r="H38" s="15" t="n">
        <v>46037</v>
      </c>
      <c r="I38" s="15" t="n">
        <v>46044</v>
      </c>
      <c r="J38" s="16" t="n">
        <v>7</v>
      </c>
      <c r="K38" s="17" t="n">
        <v>0.0505</v>
      </c>
      <c r="L38" s="11" t="s">
        <v>20</v>
      </c>
      <c r="M38" s="13" t="n">
        <f aca="false">IF(Q38="sim",0,IFERROR(INDEX(Premissas!$C$8:$C$15,MATCH(L38,Premissas!$A$8:$A$15,0)),0))</f>
        <v>0.035</v>
      </c>
      <c r="N38" s="18" t="n">
        <f aca="false">Premissas!$B$4*M38</f>
        <v>3500</v>
      </c>
      <c r="O38" s="18" t="n">
        <f aca="false">N38*K38</f>
        <v>176.75</v>
      </c>
      <c r="P38" s="18" t="n">
        <f aca="false">P37+O38</f>
        <v>1183.1</v>
      </c>
      <c r="Q38" s="11" t="s">
        <v>51</v>
      </c>
    </row>
    <row r="39" customFormat="false" ht="15" hidden="false" customHeight="false" outlineLevel="0" collapsed="false">
      <c r="A39" s="11" t="n">
        <v>38</v>
      </c>
      <c r="B39" s="11" t="s">
        <v>86</v>
      </c>
      <c r="C39" s="11" t="s">
        <v>49</v>
      </c>
      <c r="D39" s="11" t="s">
        <v>50</v>
      </c>
      <c r="E39" s="12"/>
      <c r="F39" s="13" t="n">
        <v>0.5</v>
      </c>
      <c r="G39" s="14"/>
      <c r="H39" s="15" t="n">
        <v>46042</v>
      </c>
      <c r="I39" s="15" t="n">
        <v>46044</v>
      </c>
      <c r="J39" s="16" t="n">
        <v>2</v>
      </c>
      <c r="K39" s="17" t="n">
        <v>0.0519</v>
      </c>
      <c r="L39" s="11" t="s">
        <v>20</v>
      </c>
      <c r="M39" s="13" t="n">
        <f aca="false">IF(Q39="sim",0,IFERROR(INDEX(Premissas!$C$8:$C$15,MATCH(L39,Premissas!$A$8:$A$15,0)),0))</f>
        <v>0.035</v>
      </c>
      <c r="N39" s="18" t="n">
        <f aca="false">Premissas!$B$4*M39</f>
        <v>3500</v>
      </c>
      <c r="O39" s="18" t="n">
        <f aca="false">N39*K39</f>
        <v>181.65</v>
      </c>
      <c r="P39" s="18" t="n">
        <f aca="false">P38+O39</f>
        <v>1364.75</v>
      </c>
      <c r="Q39" s="11" t="s">
        <v>51</v>
      </c>
    </row>
    <row r="40" customFormat="false" ht="15" hidden="false" customHeight="false" outlineLevel="0" collapsed="false">
      <c r="A40" s="11" t="n">
        <v>39</v>
      </c>
      <c r="B40" s="11" t="s">
        <v>87</v>
      </c>
      <c r="C40" s="11" t="s">
        <v>49</v>
      </c>
      <c r="D40" s="11" t="s">
        <v>50</v>
      </c>
      <c r="E40" s="12"/>
      <c r="F40" s="13" t="n">
        <v>0.4696</v>
      </c>
      <c r="G40" s="14" t="n">
        <v>2.016</v>
      </c>
      <c r="H40" s="15" t="n">
        <v>46038</v>
      </c>
      <c r="I40" s="15" t="n">
        <v>46048</v>
      </c>
      <c r="J40" s="16" t="n">
        <v>10</v>
      </c>
      <c r="K40" s="17" t="n">
        <v>-0.0179</v>
      </c>
      <c r="L40" s="11" t="s">
        <v>20</v>
      </c>
      <c r="M40" s="13" t="n">
        <f aca="false">IF(Q40="sim",0,IFERROR(INDEX(Premissas!$C$8:$C$15,MATCH(L40,Premissas!$A$8:$A$15,0)),0))</f>
        <v>0.035</v>
      </c>
      <c r="N40" s="18" t="n">
        <f aca="false">Premissas!$B$4*M40</f>
        <v>3500</v>
      </c>
      <c r="O40" s="18" t="n">
        <f aca="false">N40*K40</f>
        <v>-62.65</v>
      </c>
      <c r="P40" s="18" t="n">
        <f aca="false">P39+O40</f>
        <v>1302.1</v>
      </c>
      <c r="Q40" s="11" t="s">
        <v>51</v>
      </c>
    </row>
    <row r="41" customFormat="false" ht="15" hidden="false" customHeight="false" outlineLevel="0" collapsed="false">
      <c r="A41" s="11" t="n">
        <v>40</v>
      </c>
      <c r="B41" s="11" t="s">
        <v>88</v>
      </c>
      <c r="C41" s="11" t="s">
        <v>49</v>
      </c>
      <c r="D41" s="11" t="s">
        <v>50</v>
      </c>
      <c r="E41" s="12"/>
      <c r="F41" s="13" t="n">
        <v>0.4444</v>
      </c>
      <c r="G41" s="14" t="n">
        <v>1.652</v>
      </c>
      <c r="H41" s="15" t="n">
        <v>46043</v>
      </c>
      <c r="I41" s="15" t="n">
        <v>46048</v>
      </c>
      <c r="J41" s="16" t="n">
        <v>5</v>
      </c>
      <c r="K41" s="17" t="n">
        <v>-0.0104</v>
      </c>
      <c r="L41" s="11" t="s">
        <v>20</v>
      </c>
      <c r="M41" s="13" t="n">
        <f aca="false">IF(Q41="sim",0,IFERROR(INDEX(Premissas!$C$8:$C$15,MATCH(L41,Premissas!$A$8:$A$15,0)),0))</f>
        <v>0.035</v>
      </c>
      <c r="N41" s="18" t="n">
        <f aca="false">Premissas!$B$4*M41</f>
        <v>3500</v>
      </c>
      <c r="O41" s="18" t="n">
        <f aca="false">N41*K41</f>
        <v>-36.4</v>
      </c>
      <c r="P41" s="18" t="n">
        <f aca="false">P40+O41</f>
        <v>1265.7</v>
      </c>
      <c r="Q41" s="11" t="s">
        <v>51</v>
      </c>
    </row>
    <row r="42" customFormat="false" ht="15" hidden="false" customHeight="false" outlineLevel="0" collapsed="false">
      <c r="A42" s="11" t="n">
        <v>41</v>
      </c>
      <c r="B42" s="11" t="s">
        <v>89</v>
      </c>
      <c r="C42" s="11" t="s">
        <v>49</v>
      </c>
      <c r="D42" s="11" t="s">
        <v>50</v>
      </c>
      <c r="E42" s="12"/>
      <c r="F42" s="13" t="n">
        <v>0.6935</v>
      </c>
      <c r="G42" s="14" t="n">
        <v>1.861</v>
      </c>
      <c r="H42" s="15" t="n">
        <v>46044</v>
      </c>
      <c r="I42" s="15" t="n">
        <v>46048</v>
      </c>
      <c r="J42" s="16" t="n">
        <v>4</v>
      </c>
      <c r="K42" s="17" t="n">
        <v>0.0681</v>
      </c>
      <c r="L42" s="11" t="s">
        <v>20</v>
      </c>
      <c r="M42" s="13" t="n">
        <f aca="false">IF(Q42="sim",0,IFERROR(INDEX(Premissas!$C$8:$C$15,MATCH(L42,Premissas!$A$8:$A$15,0)),0))</f>
        <v>0.035</v>
      </c>
      <c r="N42" s="18" t="n">
        <f aca="false">Premissas!$B$4*M42</f>
        <v>3500</v>
      </c>
      <c r="O42" s="18" t="n">
        <f aca="false">N42*K42</f>
        <v>238.35</v>
      </c>
      <c r="P42" s="18" t="n">
        <f aca="false">P41+O42</f>
        <v>1504.05</v>
      </c>
      <c r="Q42" s="11" t="s">
        <v>51</v>
      </c>
    </row>
    <row r="43" customFormat="false" ht="15" hidden="false" customHeight="false" outlineLevel="0" collapsed="false">
      <c r="A43" s="11" t="n">
        <v>42</v>
      </c>
      <c r="B43" s="11" t="s">
        <v>90</v>
      </c>
      <c r="C43" s="11" t="s">
        <v>49</v>
      </c>
      <c r="D43" s="11" t="s">
        <v>50</v>
      </c>
      <c r="E43" s="12"/>
      <c r="F43" s="13" t="n">
        <v>0.5625</v>
      </c>
      <c r="G43" s="14"/>
      <c r="H43" s="15" t="n">
        <v>46044</v>
      </c>
      <c r="I43" s="15" t="n">
        <v>46048</v>
      </c>
      <c r="J43" s="16" t="n">
        <v>4</v>
      </c>
      <c r="K43" s="17" t="n">
        <v>0.0521</v>
      </c>
      <c r="L43" s="11" t="s">
        <v>20</v>
      </c>
      <c r="M43" s="13" t="n">
        <f aca="false">IF(Q43="sim",0,IFERROR(INDEX(Premissas!$C$8:$C$15,MATCH(L43,Premissas!$A$8:$A$15,0)),0))</f>
        <v>0.035</v>
      </c>
      <c r="N43" s="18" t="n">
        <f aca="false">Premissas!$B$4*M43</f>
        <v>3500</v>
      </c>
      <c r="O43" s="18" t="n">
        <f aca="false">N43*K43</f>
        <v>182.35</v>
      </c>
      <c r="P43" s="18" t="n">
        <f aca="false">P42+O43</f>
        <v>1686.4</v>
      </c>
      <c r="Q43" s="11" t="s">
        <v>51</v>
      </c>
    </row>
    <row r="44" customFormat="false" ht="15" hidden="false" customHeight="false" outlineLevel="0" collapsed="false">
      <c r="A44" s="11" t="n">
        <v>43</v>
      </c>
      <c r="B44" s="11" t="s">
        <v>90</v>
      </c>
      <c r="C44" s="11" t="s">
        <v>49</v>
      </c>
      <c r="D44" s="11" t="s">
        <v>50</v>
      </c>
      <c r="E44" s="12"/>
      <c r="F44" s="13" t="n">
        <v>0.5625</v>
      </c>
      <c r="G44" s="14"/>
      <c r="H44" s="15" t="n">
        <v>46035</v>
      </c>
      <c r="I44" s="15" t="n">
        <v>46048</v>
      </c>
      <c r="J44" s="16" t="n">
        <v>13</v>
      </c>
      <c r="K44" s="17" t="n">
        <v>0.0537</v>
      </c>
      <c r="L44" s="11" t="s">
        <v>20</v>
      </c>
      <c r="M44" s="13" t="n">
        <f aca="false">IF(Q44="sim",0,IFERROR(INDEX(Premissas!$C$8:$C$15,MATCH(L44,Premissas!$A$8:$A$15,0)),0))</f>
        <v>0.035</v>
      </c>
      <c r="N44" s="18" t="n">
        <f aca="false">Premissas!$B$4*M44</f>
        <v>3500</v>
      </c>
      <c r="O44" s="18" t="n">
        <f aca="false">N44*K44</f>
        <v>187.95</v>
      </c>
      <c r="P44" s="18" t="n">
        <f aca="false">P43+O44</f>
        <v>1874.35</v>
      </c>
      <c r="Q44" s="11" t="s">
        <v>51</v>
      </c>
    </row>
    <row r="45" customFormat="false" ht="15" hidden="false" customHeight="false" outlineLevel="0" collapsed="false">
      <c r="A45" s="11" t="n">
        <v>44</v>
      </c>
      <c r="B45" s="11" t="s">
        <v>91</v>
      </c>
      <c r="C45" s="11" t="s">
        <v>49</v>
      </c>
      <c r="D45" s="11" t="s">
        <v>50</v>
      </c>
      <c r="E45" s="12"/>
      <c r="F45" s="13" t="n">
        <v>0.4293</v>
      </c>
      <c r="G45" s="14" t="n">
        <v>1.815</v>
      </c>
      <c r="H45" s="15" t="n">
        <v>46044</v>
      </c>
      <c r="I45" s="15" t="n">
        <v>46049</v>
      </c>
      <c r="J45" s="16" t="n">
        <v>5</v>
      </c>
      <c r="K45" s="17" t="n">
        <v>-0.0367</v>
      </c>
      <c r="L45" s="11" t="s">
        <v>20</v>
      </c>
      <c r="M45" s="13" t="n">
        <f aca="false">IF(Q45="sim",0,IFERROR(INDEX(Premissas!$C$8:$C$15,MATCH(L45,Premissas!$A$8:$A$15,0)),0))</f>
        <v>0.035</v>
      </c>
      <c r="N45" s="18" t="n">
        <f aca="false">Premissas!$B$4*M45</f>
        <v>3500</v>
      </c>
      <c r="O45" s="18" t="n">
        <f aca="false">N45*K45</f>
        <v>-128.45</v>
      </c>
      <c r="P45" s="18" t="n">
        <f aca="false">P44+O45</f>
        <v>1745.9</v>
      </c>
      <c r="Q45" s="11" t="s">
        <v>51</v>
      </c>
    </row>
    <row r="46" customFormat="false" ht="15" hidden="false" customHeight="false" outlineLevel="0" collapsed="false">
      <c r="A46" s="11" t="n">
        <v>45</v>
      </c>
      <c r="B46" s="11" t="s">
        <v>63</v>
      </c>
      <c r="C46" s="11" t="s">
        <v>49</v>
      </c>
      <c r="D46" s="11" t="s">
        <v>50</v>
      </c>
      <c r="E46" s="12"/>
      <c r="F46" s="13" t="n">
        <v>0.65</v>
      </c>
      <c r="G46" s="14" t="n">
        <v>2.231</v>
      </c>
      <c r="H46" s="15" t="n">
        <v>46044</v>
      </c>
      <c r="I46" s="15" t="n">
        <v>46049</v>
      </c>
      <c r="J46" s="16" t="n">
        <v>5</v>
      </c>
      <c r="K46" s="17" t="n">
        <v>-0.1083</v>
      </c>
      <c r="L46" s="11" t="s">
        <v>20</v>
      </c>
      <c r="M46" s="13" t="n">
        <f aca="false">IF(Q46="sim",0,IFERROR(INDEX(Premissas!$C$8:$C$15,MATCH(L46,Premissas!$A$8:$A$15,0)),0))</f>
        <v>0.035</v>
      </c>
      <c r="N46" s="18" t="n">
        <f aca="false">Premissas!$B$4*M46</f>
        <v>3500</v>
      </c>
      <c r="O46" s="18" t="n">
        <f aca="false">N46*K46</f>
        <v>-379.05</v>
      </c>
      <c r="P46" s="18" t="n">
        <f aca="false">P45+O46</f>
        <v>1366.85</v>
      </c>
      <c r="Q46" s="11" t="s">
        <v>51</v>
      </c>
    </row>
    <row r="47" customFormat="false" ht="15" hidden="false" customHeight="false" outlineLevel="0" collapsed="false">
      <c r="A47" s="11" t="n">
        <v>46</v>
      </c>
      <c r="B47" s="11" t="s">
        <v>92</v>
      </c>
      <c r="C47" s="11" t="s">
        <v>49</v>
      </c>
      <c r="D47" s="11" t="s">
        <v>50</v>
      </c>
      <c r="E47" s="12"/>
      <c r="F47" s="13" t="n">
        <v>0.5962</v>
      </c>
      <c r="G47" s="14" t="n">
        <v>0.716</v>
      </c>
      <c r="H47" s="15" t="n">
        <v>46044</v>
      </c>
      <c r="I47" s="15" t="n">
        <v>46049</v>
      </c>
      <c r="J47" s="16" t="n">
        <v>5</v>
      </c>
      <c r="K47" s="17" t="n">
        <v>-0.017</v>
      </c>
      <c r="L47" s="11" t="s">
        <v>20</v>
      </c>
      <c r="M47" s="13" t="n">
        <f aca="false">IF(Q47="sim",0,IFERROR(INDEX(Premissas!$C$8:$C$15,MATCH(L47,Premissas!$A$8:$A$15,0)),0))</f>
        <v>0.035</v>
      </c>
      <c r="N47" s="18" t="n">
        <f aca="false">Premissas!$B$4*M47</f>
        <v>3500</v>
      </c>
      <c r="O47" s="18" t="n">
        <f aca="false">N47*K47</f>
        <v>-59.5</v>
      </c>
      <c r="P47" s="18" t="n">
        <f aca="false">P46+O47</f>
        <v>1307.35</v>
      </c>
      <c r="Q47" s="11" t="s">
        <v>51</v>
      </c>
    </row>
    <row r="48" customFormat="false" ht="15" hidden="false" customHeight="false" outlineLevel="0" collapsed="false">
      <c r="A48" s="11" t="n">
        <v>47</v>
      </c>
      <c r="B48" s="11" t="s">
        <v>93</v>
      </c>
      <c r="C48" s="11" t="s">
        <v>49</v>
      </c>
      <c r="D48" s="11" t="s">
        <v>50</v>
      </c>
      <c r="E48" s="12"/>
      <c r="F48" s="13" t="n">
        <v>0.5333</v>
      </c>
      <c r="G48" s="14" t="n">
        <v>1.336</v>
      </c>
      <c r="H48" s="15" t="n">
        <v>46037</v>
      </c>
      <c r="I48" s="15" t="n">
        <v>46049</v>
      </c>
      <c r="J48" s="16" t="n">
        <v>12</v>
      </c>
      <c r="K48" s="17" t="n">
        <v>-0.0488</v>
      </c>
      <c r="L48" s="11" t="s">
        <v>20</v>
      </c>
      <c r="M48" s="13" t="n">
        <f aca="false">IF(Q48="sim",0,IFERROR(INDEX(Premissas!$C$8:$C$15,MATCH(L48,Premissas!$A$8:$A$15,0)),0))</f>
        <v>0.035</v>
      </c>
      <c r="N48" s="18" t="n">
        <f aca="false">Premissas!$B$4*M48</f>
        <v>3500</v>
      </c>
      <c r="O48" s="18" t="n">
        <f aca="false">N48*K48</f>
        <v>-170.8</v>
      </c>
      <c r="P48" s="18" t="n">
        <f aca="false">P47+O48</f>
        <v>1136.55</v>
      </c>
      <c r="Q48" s="11" t="s">
        <v>51</v>
      </c>
    </row>
    <row r="49" customFormat="false" ht="15" hidden="false" customHeight="false" outlineLevel="0" collapsed="false">
      <c r="A49" s="11" t="n">
        <v>48</v>
      </c>
      <c r="B49" s="11" t="s">
        <v>70</v>
      </c>
      <c r="C49" s="11" t="s">
        <v>49</v>
      </c>
      <c r="D49" s="11" t="s">
        <v>50</v>
      </c>
      <c r="E49" s="12"/>
      <c r="F49" s="13" t="n">
        <v>0.6389</v>
      </c>
      <c r="G49" s="14" t="n">
        <v>1.612</v>
      </c>
      <c r="H49" s="15" t="n">
        <v>46048</v>
      </c>
      <c r="I49" s="15" t="n">
        <v>46049</v>
      </c>
      <c r="J49" s="16" t="n">
        <v>1</v>
      </c>
      <c r="K49" s="17" t="n">
        <v>0.0566</v>
      </c>
      <c r="L49" s="11" t="s">
        <v>10</v>
      </c>
      <c r="M49" s="13" t="n">
        <f aca="false">IF(Q49="sim",0,IFERROR(INDEX(Premissas!$C$8:$C$15,MATCH(L49,Premissas!$A$8:$A$15,0)),0))</f>
        <v>0.1</v>
      </c>
      <c r="N49" s="18" t="n">
        <f aca="false">Premissas!$B$4*M49</f>
        <v>10000</v>
      </c>
      <c r="O49" s="18" t="n">
        <f aca="false">N49*K49</f>
        <v>566</v>
      </c>
      <c r="P49" s="18" t="n">
        <f aca="false">P48+O49</f>
        <v>1702.55</v>
      </c>
      <c r="Q49" s="11" t="s">
        <v>51</v>
      </c>
    </row>
    <row r="50" customFormat="false" ht="15" hidden="false" customHeight="false" outlineLevel="0" collapsed="false">
      <c r="A50" s="11" t="n">
        <v>49</v>
      </c>
      <c r="B50" s="11" t="s">
        <v>94</v>
      </c>
      <c r="C50" s="11" t="s">
        <v>49</v>
      </c>
      <c r="D50" s="11" t="s">
        <v>50</v>
      </c>
      <c r="E50" s="12"/>
      <c r="F50" s="13" t="n">
        <v>0.3056</v>
      </c>
      <c r="G50" s="14" t="n">
        <v>1.87</v>
      </c>
      <c r="H50" s="15" t="n">
        <v>46035</v>
      </c>
      <c r="I50" s="15" t="n">
        <v>46049</v>
      </c>
      <c r="J50" s="16" t="n">
        <v>14</v>
      </c>
      <c r="K50" s="17" t="n">
        <v>0.0783</v>
      </c>
      <c r="L50" s="11" t="s">
        <v>20</v>
      </c>
      <c r="M50" s="13" t="n">
        <f aca="false">IF(Q50="sim",0,IFERROR(INDEX(Premissas!$C$8:$C$15,MATCH(L50,Premissas!$A$8:$A$15,0)),0))</f>
        <v>0.035</v>
      </c>
      <c r="N50" s="18" t="n">
        <f aca="false">Premissas!$B$4*M50</f>
        <v>3500</v>
      </c>
      <c r="O50" s="18" t="n">
        <f aca="false">N50*K50</f>
        <v>274.05</v>
      </c>
      <c r="P50" s="18" t="n">
        <f aca="false">P49+O50</f>
        <v>1976.6</v>
      </c>
      <c r="Q50" s="11" t="s">
        <v>51</v>
      </c>
    </row>
    <row r="51" customFormat="false" ht="15" hidden="false" customHeight="false" outlineLevel="0" collapsed="false">
      <c r="A51" s="11" t="n">
        <v>50</v>
      </c>
      <c r="B51" s="11" t="s">
        <v>95</v>
      </c>
      <c r="C51" s="11" t="s">
        <v>49</v>
      </c>
      <c r="D51" s="11" t="s">
        <v>50</v>
      </c>
      <c r="E51" s="12"/>
      <c r="F51" s="13" t="n">
        <v>0.6435</v>
      </c>
      <c r="G51" s="14" t="n">
        <v>1.036</v>
      </c>
      <c r="H51" s="15" t="n">
        <v>46049</v>
      </c>
      <c r="I51" s="15" t="n">
        <v>46050</v>
      </c>
      <c r="J51" s="16" t="n">
        <v>1</v>
      </c>
      <c r="K51" s="17" t="n">
        <v>0.0399</v>
      </c>
      <c r="L51" s="11" t="s">
        <v>20</v>
      </c>
      <c r="M51" s="13" t="n">
        <f aca="false">IF(Q51="sim",0,IFERROR(INDEX(Premissas!$C$8:$C$15,MATCH(L51,Premissas!$A$8:$A$15,0)),0))</f>
        <v>0.035</v>
      </c>
      <c r="N51" s="18" t="n">
        <f aca="false">Premissas!$B$4*M51</f>
        <v>3500</v>
      </c>
      <c r="O51" s="18" t="n">
        <f aca="false">N51*K51</f>
        <v>139.65</v>
      </c>
      <c r="P51" s="18" t="n">
        <f aca="false">P50+O51</f>
        <v>2116.25</v>
      </c>
      <c r="Q51" s="11" t="s">
        <v>51</v>
      </c>
    </row>
    <row r="52" customFormat="false" ht="15" hidden="false" customHeight="false" outlineLevel="0" collapsed="false">
      <c r="A52" s="11" t="n">
        <v>51</v>
      </c>
      <c r="B52" s="11" t="s">
        <v>88</v>
      </c>
      <c r="C52" s="11" t="s">
        <v>49</v>
      </c>
      <c r="D52" s="11" t="s">
        <v>50</v>
      </c>
      <c r="E52" s="12"/>
      <c r="F52" s="13" t="n">
        <v>0.4444</v>
      </c>
      <c r="G52" s="14" t="n">
        <v>1.63</v>
      </c>
      <c r="H52" s="15" t="n">
        <v>46049</v>
      </c>
      <c r="I52" s="15" t="n">
        <v>46050</v>
      </c>
      <c r="J52" s="16" t="n">
        <v>1</v>
      </c>
      <c r="K52" s="17" t="n">
        <v>-0.0129</v>
      </c>
      <c r="L52" s="11" t="s">
        <v>20</v>
      </c>
      <c r="M52" s="13" t="n">
        <f aca="false">IF(Q52="sim",0,IFERROR(INDEX(Premissas!$C$8:$C$15,MATCH(L52,Premissas!$A$8:$A$15,0)),0))</f>
        <v>0.035</v>
      </c>
      <c r="N52" s="18" t="n">
        <f aca="false">Premissas!$B$4*M52</f>
        <v>3500</v>
      </c>
      <c r="O52" s="18" t="n">
        <f aca="false">N52*K52</f>
        <v>-45.15</v>
      </c>
      <c r="P52" s="18" t="n">
        <f aca="false">P51+O52</f>
        <v>2071.1</v>
      </c>
      <c r="Q52" s="11" t="s">
        <v>51</v>
      </c>
    </row>
    <row r="53" customFormat="false" ht="15" hidden="false" customHeight="false" outlineLevel="0" collapsed="false">
      <c r="A53" s="11" t="n">
        <v>52</v>
      </c>
      <c r="B53" s="11" t="s">
        <v>96</v>
      </c>
      <c r="C53" s="11" t="s">
        <v>49</v>
      </c>
      <c r="D53" s="11" t="s">
        <v>50</v>
      </c>
      <c r="E53" s="12"/>
      <c r="F53" s="13" t="n">
        <v>0.4528</v>
      </c>
      <c r="G53" s="14" t="n">
        <v>0.734</v>
      </c>
      <c r="H53" s="15" t="n">
        <v>46045</v>
      </c>
      <c r="I53" s="15" t="n">
        <v>46050</v>
      </c>
      <c r="J53" s="16" t="n">
        <v>5</v>
      </c>
      <c r="K53" s="17" t="n">
        <v>-0.0398</v>
      </c>
      <c r="L53" s="11" t="s">
        <v>20</v>
      </c>
      <c r="M53" s="13" t="n">
        <f aca="false">IF(Q53="sim",0,IFERROR(INDEX(Premissas!$C$8:$C$15,MATCH(L53,Premissas!$A$8:$A$15,0)),0))</f>
        <v>0.035</v>
      </c>
      <c r="N53" s="18" t="n">
        <f aca="false">Premissas!$B$4*M53</f>
        <v>3500</v>
      </c>
      <c r="O53" s="18" t="n">
        <f aca="false">N53*K53</f>
        <v>-139.3</v>
      </c>
      <c r="P53" s="18" t="n">
        <f aca="false">P52+O53</f>
        <v>1931.8</v>
      </c>
      <c r="Q53" s="11" t="s">
        <v>51</v>
      </c>
    </row>
    <row r="54" customFormat="false" ht="15" hidden="false" customHeight="false" outlineLevel="0" collapsed="false">
      <c r="A54" s="11" t="n">
        <v>53</v>
      </c>
      <c r="B54" s="11" t="s">
        <v>65</v>
      </c>
      <c r="C54" s="11" t="s">
        <v>49</v>
      </c>
      <c r="D54" s="11" t="s">
        <v>50</v>
      </c>
      <c r="E54" s="12"/>
      <c r="F54" s="13" t="n">
        <v>0.3622</v>
      </c>
      <c r="G54" s="14" t="n">
        <v>2.043</v>
      </c>
      <c r="H54" s="15" t="n">
        <v>46038</v>
      </c>
      <c r="I54" s="15" t="n">
        <v>46050</v>
      </c>
      <c r="J54" s="16" t="n">
        <v>12</v>
      </c>
      <c r="K54" s="17" t="n">
        <v>-0.0061</v>
      </c>
      <c r="L54" s="11" t="s">
        <v>20</v>
      </c>
      <c r="M54" s="13" t="n">
        <f aca="false">IF(Q54="sim",0,IFERROR(INDEX(Premissas!$C$8:$C$15,MATCH(L54,Premissas!$A$8:$A$15,0)),0))</f>
        <v>0.035</v>
      </c>
      <c r="N54" s="18" t="n">
        <f aca="false">Premissas!$B$4*M54</f>
        <v>3500</v>
      </c>
      <c r="O54" s="18" t="n">
        <f aca="false">N54*K54</f>
        <v>-21.35</v>
      </c>
      <c r="P54" s="18" t="n">
        <f aca="false">P53+O54</f>
        <v>1910.45</v>
      </c>
      <c r="Q54" s="11" t="s">
        <v>51</v>
      </c>
    </row>
    <row r="55" customFormat="false" ht="15" hidden="false" customHeight="false" outlineLevel="0" collapsed="false">
      <c r="A55" s="11" t="n">
        <v>54</v>
      </c>
      <c r="B55" s="11" t="s">
        <v>97</v>
      </c>
      <c r="C55" s="11" t="s">
        <v>49</v>
      </c>
      <c r="D55" s="11" t="s">
        <v>50</v>
      </c>
      <c r="E55" s="12"/>
      <c r="F55" s="13" t="n">
        <v>0.5926</v>
      </c>
      <c r="G55" s="14" t="n">
        <v>0.398</v>
      </c>
      <c r="H55" s="15" t="n">
        <v>46044</v>
      </c>
      <c r="I55" s="15" t="n">
        <v>46050</v>
      </c>
      <c r="J55" s="16" t="n">
        <v>6</v>
      </c>
      <c r="K55" s="17" t="n">
        <v>-0.0902</v>
      </c>
      <c r="L55" s="11" t="s">
        <v>20</v>
      </c>
      <c r="M55" s="13" t="n">
        <f aca="false">IF(Q55="sim",0,IFERROR(INDEX(Premissas!$C$8:$C$15,MATCH(L55,Premissas!$A$8:$A$15,0)),0))</f>
        <v>0.035</v>
      </c>
      <c r="N55" s="18" t="n">
        <f aca="false">Premissas!$B$4*M55</f>
        <v>3500</v>
      </c>
      <c r="O55" s="18" t="n">
        <f aca="false">N55*K55</f>
        <v>-315.7</v>
      </c>
      <c r="P55" s="18" t="n">
        <f aca="false">P54+O55</f>
        <v>1594.75</v>
      </c>
      <c r="Q55" s="11" t="s">
        <v>51</v>
      </c>
    </row>
    <row r="56" customFormat="false" ht="15" hidden="false" customHeight="false" outlineLevel="0" collapsed="false">
      <c r="A56" s="11" t="n">
        <v>55</v>
      </c>
      <c r="B56" s="11" t="s">
        <v>98</v>
      </c>
      <c r="C56" s="11" t="s">
        <v>49</v>
      </c>
      <c r="D56" s="11" t="s">
        <v>50</v>
      </c>
      <c r="E56" s="12"/>
      <c r="F56" s="13" t="n">
        <v>0.6098</v>
      </c>
      <c r="G56" s="14" t="n">
        <v>3.407</v>
      </c>
      <c r="H56" s="15" t="n">
        <v>46049</v>
      </c>
      <c r="I56" s="15" t="n">
        <v>46050</v>
      </c>
      <c r="J56" s="16" t="n">
        <v>1</v>
      </c>
      <c r="K56" s="17" t="n">
        <v>0.0583</v>
      </c>
      <c r="L56" s="11" t="s">
        <v>20</v>
      </c>
      <c r="M56" s="13" t="n">
        <f aca="false">IF(Q56="sim",0,IFERROR(INDEX(Premissas!$C$8:$C$15,MATCH(L56,Premissas!$A$8:$A$15,0)),0))</f>
        <v>0.035</v>
      </c>
      <c r="N56" s="18" t="n">
        <f aca="false">Premissas!$B$4*M56</f>
        <v>3500</v>
      </c>
      <c r="O56" s="18" t="n">
        <f aca="false">N56*K56</f>
        <v>204.05</v>
      </c>
      <c r="P56" s="18" t="n">
        <f aca="false">P55+O56</f>
        <v>1798.8</v>
      </c>
      <c r="Q56" s="11" t="s">
        <v>51</v>
      </c>
    </row>
    <row r="57" customFormat="false" ht="15" hidden="false" customHeight="false" outlineLevel="0" collapsed="false">
      <c r="A57" s="11" t="n">
        <v>56</v>
      </c>
      <c r="B57" s="11" t="s">
        <v>95</v>
      </c>
      <c r="C57" s="11" t="s">
        <v>49</v>
      </c>
      <c r="D57" s="11" t="s">
        <v>50</v>
      </c>
      <c r="E57" s="12"/>
      <c r="F57" s="13" t="n">
        <v>0.6435</v>
      </c>
      <c r="G57" s="14" t="n">
        <v>1.036</v>
      </c>
      <c r="H57" s="15" t="n">
        <v>46049</v>
      </c>
      <c r="I57" s="15" t="n">
        <v>46051</v>
      </c>
      <c r="J57" s="16" t="n">
        <v>2</v>
      </c>
      <c r="K57" s="17" t="n">
        <v>0.0239</v>
      </c>
      <c r="L57" s="11" t="s">
        <v>20</v>
      </c>
      <c r="M57" s="13" t="n">
        <f aca="false">IF(Q57="sim",0,IFERROR(INDEX(Premissas!$C$8:$C$15,MATCH(L57,Premissas!$A$8:$A$15,0)),0))</f>
        <v>0.035</v>
      </c>
      <c r="N57" s="18" t="n">
        <f aca="false">Premissas!$B$4*M57</f>
        <v>3500</v>
      </c>
      <c r="O57" s="18" t="n">
        <f aca="false">N57*K57</f>
        <v>83.65</v>
      </c>
      <c r="P57" s="18" t="n">
        <f aca="false">P56+O57</f>
        <v>1882.45</v>
      </c>
      <c r="Q57" s="11" t="s">
        <v>51</v>
      </c>
    </row>
    <row r="58" customFormat="false" ht="15" hidden="false" customHeight="false" outlineLevel="0" collapsed="false">
      <c r="A58" s="11" t="n">
        <v>57</v>
      </c>
      <c r="B58" s="11" t="s">
        <v>99</v>
      </c>
      <c r="C58" s="11" t="s">
        <v>49</v>
      </c>
      <c r="D58" s="11" t="s">
        <v>50</v>
      </c>
      <c r="E58" s="12"/>
      <c r="F58" s="13" t="n">
        <v>0.5526</v>
      </c>
      <c r="G58" s="14" t="n">
        <v>1.66</v>
      </c>
      <c r="H58" s="15" t="n">
        <v>46051</v>
      </c>
      <c r="I58" s="15" t="n">
        <v>46051</v>
      </c>
      <c r="J58" s="16" t="n">
        <v>0</v>
      </c>
      <c r="K58" s="17" t="n">
        <v>0</v>
      </c>
      <c r="L58" s="11" t="s">
        <v>20</v>
      </c>
      <c r="M58" s="13" t="n">
        <f aca="false">IF(Q58="sim",0,IFERROR(INDEX(Premissas!$C$8:$C$15,MATCH(L58,Premissas!$A$8:$A$15,0)),0))</f>
        <v>0.035</v>
      </c>
      <c r="N58" s="18" t="n">
        <f aca="false">Premissas!$B$4*M58</f>
        <v>3500</v>
      </c>
      <c r="O58" s="18" t="n">
        <f aca="false">N58*K58</f>
        <v>0</v>
      </c>
      <c r="P58" s="18" t="n">
        <f aca="false">P57+O58</f>
        <v>1882.45</v>
      </c>
      <c r="Q58" s="11" t="s">
        <v>51</v>
      </c>
    </row>
    <row r="59" customFormat="false" ht="15" hidden="false" customHeight="false" outlineLevel="0" collapsed="false">
      <c r="A59" s="11" t="n">
        <v>58</v>
      </c>
      <c r="B59" s="11" t="s">
        <v>100</v>
      </c>
      <c r="C59" s="11" t="s">
        <v>49</v>
      </c>
      <c r="D59" s="11" t="s">
        <v>50</v>
      </c>
      <c r="E59" s="12"/>
      <c r="F59" s="13" t="n">
        <v>0.4902</v>
      </c>
      <c r="G59" s="14" t="n">
        <v>1.123</v>
      </c>
      <c r="H59" s="15" t="n">
        <v>46045</v>
      </c>
      <c r="I59" s="15" t="n">
        <v>46051</v>
      </c>
      <c r="J59" s="16" t="n">
        <v>6</v>
      </c>
      <c r="K59" s="17" t="n">
        <v>-0.0767</v>
      </c>
      <c r="L59" s="11" t="s">
        <v>20</v>
      </c>
      <c r="M59" s="13" t="n">
        <f aca="false">IF(Q59="sim",0,IFERROR(INDEX(Premissas!$C$8:$C$15,MATCH(L59,Premissas!$A$8:$A$15,0)),0))</f>
        <v>0.035</v>
      </c>
      <c r="N59" s="18" t="n">
        <f aca="false">Premissas!$B$4*M59</f>
        <v>3500</v>
      </c>
      <c r="O59" s="18" t="n">
        <f aca="false">N59*K59</f>
        <v>-268.45</v>
      </c>
      <c r="P59" s="18" t="n">
        <f aca="false">P58+O59</f>
        <v>1614</v>
      </c>
      <c r="Q59" s="11" t="s">
        <v>51</v>
      </c>
    </row>
    <row r="60" customFormat="false" ht="15" hidden="false" customHeight="false" outlineLevel="0" collapsed="false">
      <c r="A60" s="11" t="n">
        <v>59</v>
      </c>
      <c r="B60" s="11" t="s">
        <v>101</v>
      </c>
      <c r="C60" s="11" t="s">
        <v>49</v>
      </c>
      <c r="D60" s="11" t="s">
        <v>50</v>
      </c>
      <c r="E60" s="12"/>
      <c r="F60" s="13" t="n">
        <v>0.4393</v>
      </c>
      <c r="G60" s="14" t="n">
        <v>0.887</v>
      </c>
      <c r="H60" s="15" t="n">
        <v>46045</v>
      </c>
      <c r="I60" s="15" t="n">
        <v>46051</v>
      </c>
      <c r="J60" s="16" t="n">
        <v>6</v>
      </c>
      <c r="K60" s="17" t="n">
        <v>0.0642</v>
      </c>
      <c r="L60" s="11" t="s">
        <v>20</v>
      </c>
      <c r="M60" s="13" t="n">
        <f aca="false">IF(Q60="sim",0,IFERROR(INDEX(Premissas!$C$8:$C$15,MATCH(L60,Premissas!$A$8:$A$15,0)),0))</f>
        <v>0.035</v>
      </c>
      <c r="N60" s="18" t="n">
        <f aca="false">Premissas!$B$4*M60</f>
        <v>3500</v>
      </c>
      <c r="O60" s="18" t="n">
        <f aca="false">N60*K60</f>
        <v>224.7</v>
      </c>
      <c r="P60" s="18" t="n">
        <f aca="false">P59+O60</f>
        <v>1838.7</v>
      </c>
      <c r="Q60" s="11" t="s">
        <v>51</v>
      </c>
    </row>
    <row r="61" customFormat="false" ht="15" hidden="false" customHeight="false" outlineLevel="0" collapsed="false">
      <c r="A61" s="11" t="n">
        <v>60</v>
      </c>
      <c r="B61" s="11" t="s">
        <v>102</v>
      </c>
      <c r="C61" s="11" t="s">
        <v>49</v>
      </c>
      <c r="D61" s="11" t="s">
        <v>50</v>
      </c>
      <c r="E61" s="12"/>
      <c r="F61" s="13" t="n">
        <v>0.4483</v>
      </c>
      <c r="G61" s="14" t="n">
        <v>1.769</v>
      </c>
      <c r="H61" s="15" t="n">
        <v>46027</v>
      </c>
      <c r="I61" s="15" t="n">
        <v>46051</v>
      </c>
      <c r="J61" s="16" t="n">
        <v>24</v>
      </c>
      <c r="K61" s="17" t="n">
        <v>0.1243</v>
      </c>
      <c r="L61" s="11" t="s">
        <v>20</v>
      </c>
      <c r="M61" s="13" t="n">
        <f aca="false">IF(Q61="sim",0,IFERROR(INDEX(Premissas!$C$8:$C$15,MATCH(L61,Premissas!$A$8:$A$15,0)),0))</f>
        <v>0.035</v>
      </c>
      <c r="N61" s="18" t="n">
        <f aca="false">Premissas!$B$4*M61</f>
        <v>3500</v>
      </c>
      <c r="O61" s="18" t="n">
        <f aca="false">N61*K61</f>
        <v>435.05</v>
      </c>
      <c r="P61" s="18" t="n">
        <f aca="false">P60+O61</f>
        <v>2273.75</v>
      </c>
      <c r="Q61" s="11" t="s">
        <v>51</v>
      </c>
    </row>
    <row r="62" customFormat="false" ht="15" hidden="false" customHeight="false" outlineLevel="0" collapsed="false">
      <c r="A62" s="11" t="n">
        <v>61</v>
      </c>
      <c r="B62" s="11" t="s">
        <v>103</v>
      </c>
      <c r="C62" s="11" t="s">
        <v>49</v>
      </c>
      <c r="D62" s="11" t="s">
        <v>50</v>
      </c>
      <c r="E62" s="12"/>
      <c r="F62" s="13" t="n">
        <v>0.2908</v>
      </c>
      <c r="G62" s="14" t="n">
        <v>0.961</v>
      </c>
      <c r="H62" s="15" t="n">
        <v>46021</v>
      </c>
      <c r="I62" s="15" t="n">
        <v>46051</v>
      </c>
      <c r="J62" s="16" t="n">
        <v>30</v>
      </c>
      <c r="K62" s="17" t="n">
        <v>0.0523</v>
      </c>
      <c r="L62" s="11" t="s">
        <v>20</v>
      </c>
      <c r="M62" s="13" t="n">
        <f aca="false">IF(Q62="sim",0,IFERROR(INDEX(Premissas!$C$8:$C$15,MATCH(L62,Premissas!$A$8:$A$15,0)),0))</f>
        <v>0.035</v>
      </c>
      <c r="N62" s="18" t="n">
        <f aca="false">Premissas!$B$4*M62</f>
        <v>3500</v>
      </c>
      <c r="O62" s="18" t="n">
        <f aca="false">N62*K62</f>
        <v>183.05</v>
      </c>
      <c r="P62" s="18" t="n">
        <f aca="false">P61+O62</f>
        <v>2456.8</v>
      </c>
      <c r="Q62" s="11" t="s">
        <v>51</v>
      </c>
    </row>
    <row r="63" customFormat="false" ht="15" hidden="false" customHeight="false" outlineLevel="0" collapsed="false">
      <c r="A63" s="11" t="n">
        <v>62</v>
      </c>
      <c r="B63" s="11" t="s">
        <v>104</v>
      </c>
      <c r="C63" s="11" t="s">
        <v>49</v>
      </c>
      <c r="D63" s="11" t="s">
        <v>50</v>
      </c>
      <c r="E63" s="12"/>
      <c r="F63" s="13" t="n">
        <v>0.75</v>
      </c>
      <c r="G63" s="14" t="n">
        <v>1.035</v>
      </c>
      <c r="H63" s="15" t="n">
        <v>46044</v>
      </c>
      <c r="I63" s="15" t="n">
        <v>46052</v>
      </c>
      <c r="J63" s="16" t="n">
        <v>8</v>
      </c>
      <c r="K63" s="17" t="n">
        <v>-0.1935</v>
      </c>
      <c r="L63" s="11" t="s">
        <v>20</v>
      </c>
      <c r="M63" s="13" t="n">
        <f aca="false">IF(Q63="sim",0,IFERROR(INDEX(Premissas!$C$8:$C$15,MATCH(L63,Premissas!$A$8:$A$15,0)),0))</f>
        <v>0.035</v>
      </c>
      <c r="N63" s="18" t="n">
        <f aca="false">Premissas!$B$4*M63</f>
        <v>3500</v>
      </c>
      <c r="O63" s="18" t="n">
        <f aca="false">N63*K63</f>
        <v>-677.25</v>
      </c>
      <c r="P63" s="18" t="n">
        <f aca="false">P62+O63</f>
        <v>1779.55</v>
      </c>
      <c r="Q63" s="11" t="s">
        <v>51</v>
      </c>
    </row>
    <row r="64" customFormat="false" ht="15" hidden="false" customHeight="false" outlineLevel="0" collapsed="false">
      <c r="A64" s="11" t="n">
        <v>63</v>
      </c>
      <c r="B64" s="11" t="s">
        <v>105</v>
      </c>
      <c r="C64" s="11" t="s">
        <v>49</v>
      </c>
      <c r="D64" s="11" t="s">
        <v>50</v>
      </c>
      <c r="E64" s="12"/>
      <c r="F64" s="13" t="n">
        <v>0.6418</v>
      </c>
      <c r="G64" s="14" t="n">
        <v>2.028</v>
      </c>
      <c r="H64" s="15" t="n">
        <v>46045</v>
      </c>
      <c r="I64" s="15" t="n">
        <v>46052</v>
      </c>
      <c r="J64" s="16" t="n">
        <v>7</v>
      </c>
      <c r="K64" s="17" t="n">
        <v>-0.0724</v>
      </c>
      <c r="L64" s="11" t="s">
        <v>20</v>
      </c>
      <c r="M64" s="13" t="n">
        <f aca="false">IF(Q64="sim",0,IFERROR(INDEX(Premissas!$C$8:$C$15,MATCH(L64,Premissas!$A$8:$A$15,0)),0))</f>
        <v>0.035</v>
      </c>
      <c r="N64" s="18" t="n">
        <f aca="false">Premissas!$B$4*M64</f>
        <v>3500</v>
      </c>
      <c r="O64" s="18" t="n">
        <f aca="false">N64*K64</f>
        <v>-253.4</v>
      </c>
      <c r="P64" s="18" t="n">
        <f aca="false">P63+O64</f>
        <v>1526.15</v>
      </c>
      <c r="Q64" s="11" t="s">
        <v>51</v>
      </c>
    </row>
    <row r="65" customFormat="false" ht="15" hidden="false" customHeight="false" outlineLevel="0" collapsed="false">
      <c r="A65" s="11" t="n">
        <v>64</v>
      </c>
      <c r="B65" s="11" t="s">
        <v>106</v>
      </c>
      <c r="C65" s="11" t="s">
        <v>49</v>
      </c>
      <c r="D65" s="11" t="s">
        <v>50</v>
      </c>
      <c r="E65" s="12"/>
      <c r="F65" s="13" t="n">
        <v>0.5882</v>
      </c>
      <c r="G65" s="14"/>
      <c r="H65" s="15" t="n">
        <v>46044</v>
      </c>
      <c r="I65" s="15" t="n">
        <v>46052</v>
      </c>
      <c r="J65" s="16" t="n">
        <v>8</v>
      </c>
      <c r="K65" s="17" t="n">
        <v>-0.0643</v>
      </c>
      <c r="L65" s="11" t="s">
        <v>20</v>
      </c>
      <c r="M65" s="13" t="n">
        <f aca="false">IF(Q65="sim",0,IFERROR(INDEX(Premissas!$C$8:$C$15,MATCH(L65,Premissas!$A$8:$A$15,0)),0))</f>
        <v>0.035</v>
      </c>
      <c r="N65" s="18" t="n">
        <f aca="false">Premissas!$B$4*M65</f>
        <v>3500</v>
      </c>
      <c r="O65" s="18" t="n">
        <f aca="false">N65*K65</f>
        <v>-225.05</v>
      </c>
      <c r="P65" s="18" t="n">
        <f aca="false">P64+O65</f>
        <v>1301.1</v>
      </c>
      <c r="Q65" s="11" t="s">
        <v>51</v>
      </c>
    </row>
    <row r="66" customFormat="false" ht="15" hidden="false" customHeight="false" outlineLevel="0" collapsed="false">
      <c r="A66" s="11" t="n">
        <v>65</v>
      </c>
      <c r="B66" s="11" t="s">
        <v>107</v>
      </c>
      <c r="C66" s="11" t="s">
        <v>49</v>
      </c>
      <c r="D66" s="11" t="s">
        <v>50</v>
      </c>
      <c r="E66" s="12"/>
      <c r="F66" s="13" t="n">
        <v>0.6644</v>
      </c>
      <c r="G66" s="14" t="n">
        <v>1.648</v>
      </c>
      <c r="H66" s="15" t="n">
        <v>46044</v>
      </c>
      <c r="I66" s="15" t="n">
        <v>46052</v>
      </c>
      <c r="J66" s="16" t="n">
        <v>8</v>
      </c>
      <c r="K66" s="17" t="n">
        <v>0.1166</v>
      </c>
      <c r="L66" s="11" t="s">
        <v>10</v>
      </c>
      <c r="M66" s="13" t="n">
        <f aca="false">IF(Q66="sim",0,IFERROR(INDEX(Premissas!$C$8:$C$15,MATCH(L66,Premissas!$A$8:$A$15,0)),0))</f>
        <v>0.1</v>
      </c>
      <c r="N66" s="18" t="n">
        <f aca="false">Premissas!$B$4*M66</f>
        <v>10000</v>
      </c>
      <c r="O66" s="18" t="n">
        <f aca="false">N66*K66</f>
        <v>1166</v>
      </c>
      <c r="P66" s="18" t="n">
        <f aca="false">P65+O66</f>
        <v>2467.1</v>
      </c>
      <c r="Q66" s="11" t="s">
        <v>51</v>
      </c>
    </row>
    <row r="67" customFormat="false" ht="15" hidden="false" customHeight="false" outlineLevel="0" collapsed="false">
      <c r="A67" s="11" t="n">
        <v>66</v>
      </c>
      <c r="B67" s="11" t="s">
        <v>108</v>
      </c>
      <c r="C67" s="11" t="s">
        <v>49</v>
      </c>
      <c r="D67" s="11" t="s">
        <v>50</v>
      </c>
      <c r="E67" s="12"/>
      <c r="F67" s="13" t="n">
        <v>0.7778</v>
      </c>
      <c r="G67" s="14" t="n">
        <v>1.45</v>
      </c>
      <c r="H67" s="15" t="n">
        <v>46055</v>
      </c>
      <c r="I67" s="15" t="n">
        <v>46056</v>
      </c>
      <c r="J67" s="16" t="n">
        <v>1</v>
      </c>
      <c r="K67" s="17" t="n">
        <v>0.0622</v>
      </c>
      <c r="L67" s="11" t="s">
        <v>10</v>
      </c>
      <c r="M67" s="13" t="n">
        <f aca="false">IF(Q67="sim",0,IFERROR(INDEX(Premissas!$C$8:$C$15,MATCH(L67,Premissas!$A$8:$A$15,0)),0))</f>
        <v>0.1</v>
      </c>
      <c r="N67" s="18" t="n">
        <f aca="false">Premissas!$B$4*M67</f>
        <v>10000</v>
      </c>
      <c r="O67" s="18" t="n">
        <f aca="false">N67*K67</f>
        <v>622</v>
      </c>
      <c r="P67" s="18" t="n">
        <f aca="false">P66+O67</f>
        <v>3089.1</v>
      </c>
      <c r="Q67" s="11" t="s">
        <v>51</v>
      </c>
    </row>
    <row r="68" customFormat="false" ht="15" hidden="false" customHeight="false" outlineLevel="0" collapsed="false">
      <c r="A68" s="11" t="n">
        <v>67</v>
      </c>
      <c r="B68" s="11" t="s">
        <v>109</v>
      </c>
      <c r="C68" s="11" t="s">
        <v>49</v>
      </c>
      <c r="D68" s="11" t="s">
        <v>50</v>
      </c>
      <c r="E68" s="12"/>
      <c r="F68" s="13" t="n">
        <v>0.397</v>
      </c>
      <c r="G68" s="14" t="n">
        <v>1.734</v>
      </c>
      <c r="H68" s="15" t="n">
        <v>46050</v>
      </c>
      <c r="I68" s="15" t="n">
        <v>46056</v>
      </c>
      <c r="J68" s="16" t="n">
        <v>6</v>
      </c>
      <c r="K68" s="17" t="n">
        <v>0.0668</v>
      </c>
      <c r="L68" s="11" t="s">
        <v>20</v>
      </c>
      <c r="M68" s="13" t="n">
        <f aca="false">IF(Q68="sim",0,IFERROR(INDEX(Premissas!$C$8:$C$15,MATCH(L68,Premissas!$A$8:$A$15,0)),0))</f>
        <v>0.035</v>
      </c>
      <c r="N68" s="18" t="n">
        <f aca="false">Premissas!$B$4*M68</f>
        <v>3500</v>
      </c>
      <c r="O68" s="18" t="n">
        <f aca="false">N68*K68</f>
        <v>233.8</v>
      </c>
      <c r="P68" s="18" t="n">
        <f aca="false">P67+O68</f>
        <v>3322.9</v>
      </c>
      <c r="Q68" s="11" t="s">
        <v>51</v>
      </c>
    </row>
    <row r="69" customFormat="false" ht="15" hidden="false" customHeight="false" outlineLevel="0" collapsed="false">
      <c r="A69" s="11" t="n">
        <v>68</v>
      </c>
      <c r="B69" s="11" t="s">
        <v>109</v>
      </c>
      <c r="C69" s="11" t="s">
        <v>49</v>
      </c>
      <c r="D69" s="11" t="s">
        <v>50</v>
      </c>
      <c r="E69" s="12"/>
      <c r="F69" s="13" t="n">
        <v>0.399</v>
      </c>
      <c r="G69" s="14" t="n">
        <v>1.734</v>
      </c>
      <c r="H69" s="15" t="n">
        <v>46044</v>
      </c>
      <c r="I69" s="15" t="n">
        <v>46056</v>
      </c>
      <c r="J69" s="16" t="n">
        <v>12</v>
      </c>
      <c r="K69" s="17" t="n">
        <v>0.0507</v>
      </c>
      <c r="L69" s="11" t="s">
        <v>20</v>
      </c>
      <c r="M69" s="13" t="n">
        <f aca="false">IF(Q69="sim",0,IFERROR(INDEX(Premissas!$C$8:$C$15,MATCH(L69,Premissas!$A$8:$A$15,0)),0))</f>
        <v>0.035</v>
      </c>
      <c r="N69" s="18" t="n">
        <f aca="false">Premissas!$B$4*M69</f>
        <v>3500</v>
      </c>
      <c r="O69" s="18" t="n">
        <f aca="false">N69*K69</f>
        <v>177.45</v>
      </c>
      <c r="P69" s="18" t="n">
        <f aca="false">P68+O69</f>
        <v>3500.35</v>
      </c>
      <c r="Q69" s="11" t="s">
        <v>51</v>
      </c>
    </row>
    <row r="70" customFormat="false" ht="15" hidden="false" customHeight="false" outlineLevel="0" collapsed="false">
      <c r="A70" s="11" t="n">
        <v>69</v>
      </c>
      <c r="B70" s="11" t="s">
        <v>110</v>
      </c>
      <c r="C70" s="11" t="s">
        <v>49</v>
      </c>
      <c r="D70" s="11" t="s">
        <v>50</v>
      </c>
      <c r="E70" s="12"/>
      <c r="F70" s="13" t="n">
        <v>0.5858</v>
      </c>
      <c r="G70" s="14" t="n">
        <v>1.566</v>
      </c>
      <c r="H70" s="15" t="n">
        <v>46052</v>
      </c>
      <c r="I70" s="15" t="n">
        <v>46056</v>
      </c>
      <c r="J70" s="16" t="n">
        <v>4</v>
      </c>
      <c r="K70" s="17" t="n">
        <v>0.0602</v>
      </c>
      <c r="L70" s="11" t="s">
        <v>20</v>
      </c>
      <c r="M70" s="13" t="n">
        <f aca="false">IF(Q70="sim",0,IFERROR(INDEX(Premissas!$C$8:$C$15,MATCH(L70,Premissas!$A$8:$A$15,0)),0))</f>
        <v>0.035</v>
      </c>
      <c r="N70" s="18" t="n">
        <f aca="false">Premissas!$B$4*M70</f>
        <v>3500</v>
      </c>
      <c r="O70" s="18" t="n">
        <f aca="false">N70*K70</f>
        <v>210.7</v>
      </c>
      <c r="P70" s="18" t="n">
        <f aca="false">P69+O70</f>
        <v>3711.05</v>
      </c>
      <c r="Q70" s="11" t="s">
        <v>51</v>
      </c>
    </row>
    <row r="71" customFormat="false" ht="15" hidden="false" customHeight="false" outlineLevel="0" collapsed="false">
      <c r="A71" s="11" t="n">
        <v>70</v>
      </c>
      <c r="B71" s="11" t="s">
        <v>111</v>
      </c>
      <c r="C71" s="11" t="s">
        <v>49</v>
      </c>
      <c r="D71" s="11" t="s">
        <v>50</v>
      </c>
      <c r="E71" s="12"/>
      <c r="F71" s="13" t="n">
        <v>0.5694</v>
      </c>
      <c r="G71" s="14" t="n">
        <v>1.586</v>
      </c>
      <c r="H71" s="15" t="n">
        <v>46056</v>
      </c>
      <c r="I71" s="15" t="n">
        <v>46057</v>
      </c>
      <c r="J71" s="16" t="n">
        <v>1</v>
      </c>
      <c r="K71" s="17" t="n">
        <v>-0.0062</v>
      </c>
      <c r="L71" s="11" t="s">
        <v>20</v>
      </c>
      <c r="M71" s="13" t="n">
        <f aca="false">IF(Q71="sim",0,IFERROR(INDEX(Premissas!$C$8:$C$15,MATCH(L71,Premissas!$A$8:$A$15,0)),0))</f>
        <v>0.035</v>
      </c>
      <c r="N71" s="18" t="n">
        <f aca="false">Premissas!$B$4*M71</f>
        <v>3500</v>
      </c>
      <c r="O71" s="18" t="n">
        <f aca="false">N71*K71</f>
        <v>-21.7</v>
      </c>
      <c r="P71" s="18" t="n">
        <f aca="false">P70+O71</f>
        <v>3689.35</v>
      </c>
      <c r="Q71" s="11" t="s">
        <v>51</v>
      </c>
    </row>
    <row r="72" customFormat="false" ht="15" hidden="false" customHeight="false" outlineLevel="0" collapsed="false">
      <c r="A72" s="11" t="n">
        <v>71</v>
      </c>
      <c r="B72" s="11" t="s">
        <v>66</v>
      </c>
      <c r="C72" s="11" t="s">
        <v>49</v>
      </c>
      <c r="D72" s="11" t="s">
        <v>50</v>
      </c>
      <c r="E72" s="12"/>
      <c r="F72" s="13" t="n">
        <v>0.4492</v>
      </c>
      <c r="G72" s="14" t="n">
        <v>1.4</v>
      </c>
      <c r="H72" s="15" t="n">
        <v>46052</v>
      </c>
      <c r="I72" s="15" t="n">
        <v>46057</v>
      </c>
      <c r="J72" s="16" t="n">
        <v>5</v>
      </c>
      <c r="K72" s="17" t="n">
        <v>-0.0385</v>
      </c>
      <c r="L72" s="11" t="s">
        <v>20</v>
      </c>
      <c r="M72" s="13" t="n">
        <f aca="false">IF(Q72="sim",0,IFERROR(INDEX(Premissas!$C$8:$C$15,MATCH(L72,Premissas!$A$8:$A$15,0)),0))</f>
        <v>0.035</v>
      </c>
      <c r="N72" s="18" t="n">
        <f aca="false">Premissas!$B$4*M72</f>
        <v>3500</v>
      </c>
      <c r="O72" s="18" t="n">
        <f aca="false">N72*K72</f>
        <v>-134.75</v>
      </c>
      <c r="P72" s="18" t="n">
        <f aca="false">P71+O72</f>
        <v>3554.6</v>
      </c>
      <c r="Q72" s="11" t="s">
        <v>51</v>
      </c>
    </row>
    <row r="73" customFormat="false" ht="15" hidden="false" customHeight="false" outlineLevel="0" collapsed="false">
      <c r="A73" s="11" t="n">
        <v>72</v>
      </c>
      <c r="B73" s="11" t="s">
        <v>112</v>
      </c>
      <c r="C73" s="11" t="s">
        <v>49</v>
      </c>
      <c r="D73" s="11" t="s">
        <v>50</v>
      </c>
      <c r="E73" s="12"/>
      <c r="F73" s="13" t="n">
        <v>0.2609</v>
      </c>
      <c r="G73" s="14" t="n">
        <v>1.6</v>
      </c>
      <c r="H73" s="15" t="n">
        <v>46045</v>
      </c>
      <c r="I73" s="15" t="n">
        <v>46057</v>
      </c>
      <c r="J73" s="16" t="n">
        <v>12</v>
      </c>
      <c r="K73" s="17" t="n">
        <v>-0.0279</v>
      </c>
      <c r="L73" s="11" t="s">
        <v>20</v>
      </c>
      <c r="M73" s="13" t="n">
        <f aca="false">IF(Q73="sim",0,IFERROR(INDEX(Premissas!$C$8:$C$15,MATCH(L73,Premissas!$A$8:$A$15,0)),0))</f>
        <v>0.035</v>
      </c>
      <c r="N73" s="18" t="n">
        <f aca="false">Premissas!$B$4*M73</f>
        <v>3500</v>
      </c>
      <c r="O73" s="18" t="n">
        <f aca="false">N73*K73</f>
        <v>-97.65</v>
      </c>
      <c r="P73" s="18" t="n">
        <f aca="false">P72+O73</f>
        <v>3456.95</v>
      </c>
      <c r="Q73" s="11" t="s">
        <v>51</v>
      </c>
    </row>
    <row r="74" customFormat="false" ht="15" hidden="false" customHeight="false" outlineLevel="0" collapsed="false">
      <c r="A74" s="11" t="n">
        <v>73</v>
      </c>
      <c r="B74" s="11" t="s">
        <v>101</v>
      </c>
      <c r="C74" s="11" t="s">
        <v>49</v>
      </c>
      <c r="D74" s="11" t="s">
        <v>50</v>
      </c>
      <c r="E74" s="12"/>
      <c r="F74" s="13" t="n">
        <v>0.4393</v>
      </c>
      <c r="G74" s="14" t="n">
        <v>0.887</v>
      </c>
      <c r="H74" s="15" t="n">
        <v>46036</v>
      </c>
      <c r="I74" s="15" t="n">
        <v>46057</v>
      </c>
      <c r="J74" s="16" t="n">
        <v>21</v>
      </c>
      <c r="K74" s="17" t="n">
        <v>0.0605</v>
      </c>
      <c r="L74" s="11" t="s">
        <v>20</v>
      </c>
      <c r="M74" s="13" t="n">
        <f aca="false">IF(Q74="sim",0,IFERROR(INDEX(Premissas!$C$8:$C$15,MATCH(L74,Premissas!$A$8:$A$15,0)),0))</f>
        <v>0.035</v>
      </c>
      <c r="N74" s="18" t="n">
        <f aca="false">Premissas!$B$4*M74</f>
        <v>3500</v>
      </c>
      <c r="O74" s="18" t="n">
        <f aca="false">N74*K74</f>
        <v>211.75</v>
      </c>
      <c r="P74" s="18" t="n">
        <f aca="false">P73+O74</f>
        <v>3668.7</v>
      </c>
      <c r="Q74" s="11" t="s">
        <v>51</v>
      </c>
    </row>
    <row r="75" customFormat="false" ht="15" hidden="false" customHeight="false" outlineLevel="0" collapsed="false">
      <c r="A75" s="11" t="n">
        <v>74</v>
      </c>
      <c r="B75" s="11" t="s">
        <v>113</v>
      </c>
      <c r="C75" s="11" t="s">
        <v>49</v>
      </c>
      <c r="D75" s="11" t="s">
        <v>50</v>
      </c>
      <c r="E75" s="12"/>
      <c r="F75" s="13" t="n">
        <v>0.8281</v>
      </c>
      <c r="G75" s="14" t="n">
        <v>1.711</v>
      </c>
      <c r="H75" s="15" t="n">
        <v>46045</v>
      </c>
      <c r="I75" s="15" t="n">
        <v>46057</v>
      </c>
      <c r="J75" s="16" t="n">
        <v>12</v>
      </c>
      <c r="K75" s="17" t="n">
        <v>0.0767</v>
      </c>
      <c r="L75" s="11" t="s">
        <v>20</v>
      </c>
      <c r="M75" s="13" t="n">
        <f aca="false">IF(Q75="sim",0,IFERROR(INDEX(Premissas!$C$8:$C$15,MATCH(L75,Premissas!$A$8:$A$15,0)),0))</f>
        <v>0.035</v>
      </c>
      <c r="N75" s="18" t="n">
        <f aca="false">Premissas!$B$4*M75</f>
        <v>3500</v>
      </c>
      <c r="O75" s="18" t="n">
        <f aca="false">N75*K75</f>
        <v>268.45</v>
      </c>
      <c r="P75" s="18" t="n">
        <f aca="false">P74+O75</f>
        <v>3937.15</v>
      </c>
      <c r="Q75" s="11" t="s">
        <v>51</v>
      </c>
    </row>
    <row r="76" customFormat="false" ht="15" hidden="false" customHeight="false" outlineLevel="0" collapsed="false">
      <c r="A76" s="11" t="n">
        <v>75</v>
      </c>
      <c r="B76" s="11" t="s">
        <v>114</v>
      </c>
      <c r="C76" s="11" t="s">
        <v>49</v>
      </c>
      <c r="D76" s="11" t="s">
        <v>50</v>
      </c>
      <c r="E76" s="12"/>
      <c r="F76" s="13" t="n">
        <v>0.2753</v>
      </c>
      <c r="G76" s="14" t="n">
        <v>1.012</v>
      </c>
      <c r="H76" s="15" t="n">
        <v>46050</v>
      </c>
      <c r="I76" s="15" t="n">
        <v>46057</v>
      </c>
      <c r="J76" s="16" t="n">
        <v>7</v>
      </c>
      <c r="K76" s="17" t="n">
        <v>0.0518</v>
      </c>
      <c r="L76" s="11" t="s">
        <v>20</v>
      </c>
      <c r="M76" s="13" t="n">
        <f aca="false">IF(Q76="sim",0,IFERROR(INDEX(Premissas!$C$8:$C$15,MATCH(L76,Premissas!$A$8:$A$15,0)),0))</f>
        <v>0.035</v>
      </c>
      <c r="N76" s="18" t="n">
        <f aca="false">Premissas!$B$4*M76</f>
        <v>3500</v>
      </c>
      <c r="O76" s="18" t="n">
        <f aca="false">N76*K76</f>
        <v>181.3</v>
      </c>
      <c r="P76" s="18" t="n">
        <f aca="false">P75+O76</f>
        <v>4118.45</v>
      </c>
      <c r="Q76" s="11" t="s">
        <v>51</v>
      </c>
    </row>
    <row r="77" customFormat="false" ht="15" hidden="false" customHeight="false" outlineLevel="0" collapsed="false">
      <c r="A77" s="11" t="n">
        <v>76</v>
      </c>
      <c r="B77" s="11" t="s">
        <v>115</v>
      </c>
      <c r="C77" s="11" t="s">
        <v>49</v>
      </c>
      <c r="D77" s="11" t="s">
        <v>50</v>
      </c>
      <c r="E77" s="12"/>
      <c r="F77" s="13" t="n">
        <v>0.3889</v>
      </c>
      <c r="G77" s="14" t="n">
        <v>1.623</v>
      </c>
      <c r="H77" s="15" t="n">
        <v>46038</v>
      </c>
      <c r="I77" s="15" t="n">
        <v>46057</v>
      </c>
      <c r="J77" s="16" t="n">
        <v>19</v>
      </c>
      <c r="K77" s="17" t="n">
        <v>0.0751</v>
      </c>
      <c r="L77" s="11" t="s">
        <v>20</v>
      </c>
      <c r="M77" s="13" t="n">
        <f aca="false">IF(Q77="sim",0,IFERROR(INDEX(Premissas!$C$8:$C$15,MATCH(L77,Premissas!$A$8:$A$15,0)),0))</f>
        <v>0.035</v>
      </c>
      <c r="N77" s="18" t="n">
        <f aca="false">Premissas!$B$4*M77</f>
        <v>3500</v>
      </c>
      <c r="O77" s="18" t="n">
        <f aca="false">N77*K77</f>
        <v>262.85</v>
      </c>
      <c r="P77" s="18" t="n">
        <f aca="false">P76+O77</f>
        <v>4381.3</v>
      </c>
      <c r="Q77" s="11" t="s">
        <v>51</v>
      </c>
    </row>
    <row r="78" customFormat="false" ht="15" hidden="false" customHeight="false" outlineLevel="0" collapsed="false">
      <c r="A78" s="11" t="n">
        <v>77</v>
      </c>
      <c r="B78" s="11" t="s">
        <v>115</v>
      </c>
      <c r="C78" s="11" t="s">
        <v>49</v>
      </c>
      <c r="D78" s="11" t="s">
        <v>50</v>
      </c>
      <c r="E78" s="12"/>
      <c r="F78" s="13" t="n">
        <v>0.3889</v>
      </c>
      <c r="G78" s="14" t="n">
        <v>1.623</v>
      </c>
      <c r="H78" s="15" t="n">
        <v>46027</v>
      </c>
      <c r="I78" s="15" t="n">
        <v>46057</v>
      </c>
      <c r="J78" s="16" t="n">
        <v>30</v>
      </c>
      <c r="K78" s="17" t="n">
        <v>0.0626</v>
      </c>
      <c r="L78" s="11" t="s">
        <v>20</v>
      </c>
      <c r="M78" s="13" t="n">
        <f aca="false">IF(Q78="sim",0,IFERROR(INDEX(Premissas!$C$8:$C$15,MATCH(L78,Premissas!$A$8:$A$15,0)),0))</f>
        <v>0.035</v>
      </c>
      <c r="N78" s="18" t="n">
        <f aca="false">Premissas!$B$4*M78</f>
        <v>3500</v>
      </c>
      <c r="O78" s="18" t="n">
        <f aca="false">N78*K78</f>
        <v>219.1</v>
      </c>
      <c r="P78" s="18" t="n">
        <f aca="false">P77+O78</f>
        <v>4600.4</v>
      </c>
      <c r="Q78" s="11" t="s">
        <v>51</v>
      </c>
    </row>
    <row r="79" customFormat="false" ht="15" hidden="false" customHeight="false" outlineLevel="0" collapsed="false">
      <c r="A79" s="11" t="n">
        <v>78</v>
      </c>
      <c r="B79" s="11" t="s">
        <v>116</v>
      </c>
      <c r="C79" s="11" t="s">
        <v>49</v>
      </c>
      <c r="D79" s="11" t="s">
        <v>50</v>
      </c>
      <c r="E79" s="12"/>
      <c r="F79" s="13" t="n">
        <v>0.5731</v>
      </c>
      <c r="G79" s="14" t="n">
        <v>1.266</v>
      </c>
      <c r="H79" s="15" t="n">
        <v>46052</v>
      </c>
      <c r="I79" s="15" t="n">
        <v>46057</v>
      </c>
      <c r="J79" s="16" t="n">
        <v>5</v>
      </c>
      <c r="K79" s="17" t="n">
        <v>0.0564</v>
      </c>
      <c r="L79" s="11" t="s">
        <v>20</v>
      </c>
      <c r="M79" s="13" t="n">
        <f aca="false">IF(Q79="sim",0,IFERROR(INDEX(Premissas!$C$8:$C$15,MATCH(L79,Premissas!$A$8:$A$15,0)),0))</f>
        <v>0.035</v>
      </c>
      <c r="N79" s="18" t="n">
        <f aca="false">Premissas!$B$4*M79</f>
        <v>3500</v>
      </c>
      <c r="O79" s="18" t="n">
        <f aca="false">N79*K79</f>
        <v>197.4</v>
      </c>
      <c r="P79" s="18" t="n">
        <f aca="false">P78+O79</f>
        <v>4797.8</v>
      </c>
      <c r="Q79" s="11" t="s">
        <v>51</v>
      </c>
    </row>
    <row r="80" customFormat="false" ht="15" hidden="false" customHeight="false" outlineLevel="0" collapsed="false">
      <c r="A80" s="11" t="n">
        <v>79</v>
      </c>
      <c r="B80" s="11" t="s">
        <v>65</v>
      </c>
      <c r="C80" s="11" t="s">
        <v>49</v>
      </c>
      <c r="D80" s="11" t="s">
        <v>50</v>
      </c>
      <c r="E80" s="12"/>
      <c r="F80" s="13" t="n">
        <v>0.3622</v>
      </c>
      <c r="G80" s="14" t="n">
        <v>2.058</v>
      </c>
      <c r="H80" s="15" t="n">
        <v>46034</v>
      </c>
      <c r="I80" s="15" t="n">
        <v>46057</v>
      </c>
      <c r="J80" s="16" t="n">
        <v>23</v>
      </c>
      <c r="K80" s="17" t="n">
        <v>0.0514</v>
      </c>
      <c r="L80" s="11" t="s">
        <v>20</v>
      </c>
      <c r="M80" s="13" t="n">
        <f aca="false">IF(Q80="sim",0,IFERROR(INDEX(Premissas!$C$8:$C$15,MATCH(L80,Premissas!$A$8:$A$15,0)),0))</f>
        <v>0.035</v>
      </c>
      <c r="N80" s="18" t="n">
        <f aca="false">Premissas!$B$4*M80</f>
        <v>3500</v>
      </c>
      <c r="O80" s="18" t="n">
        <f aca="false">N80*K80</f>
        <v>179.9</v>
      </c>
      <c r="P80" s="18" t="n">
        <f aca="false">P79+O80</f>
        <v>4977.7</v>
      </c>
      <c r="Q80" s="11" t="s">
        <v>51</v>
      </c>
    </row>
    <row r="81" customFormat="false" ht="15" hidden="false" customHeight="false" outlineLevel="0" collapsed="false">
      <c r="A81" s="11" t="n">
        <v>80</v>
      </c>
      <c r="B81" s="11" t="s">
        <v>117</v>
      </c>
      <c r="C81" s="11" t="s">
        <v>49</v>
      </c>
      <c r="D81" s="11" t="s">
        <v>50</v>
      </c>
      <c r="E81" s="12"/>
      <c r="F81" s="13" t="n">
        <v>0.4773</v>
      </c>
      <c r="G81" s="14" t="n">
        <v>1.464</v>
      </c>
      <c r="H81" s="15" t="n">
        <v>46055</v>
      </c>
      <c r="I81" s="15" t="n">
        <v>46057</v>
      </c>
      <c r="J81" s="16" t="n">
        <v>2</v>
      </c>
      <c r="K81" s="17" t="n">
        <v>0.0536</v>
      </c>
      <c r="L81" s="11" t="s">
        <v>20</v>
      </c>
      <c r="M81" s="13" t="n">
        <f aca="false">IF(Q81="sim",0,IFERROR(INDEX(Premissas!$C$8:$C$15,MATCH(L81,Premissas!$A$8:$A$15,0)),0))</f>
        <v>0.035</v>
      </c>
      <c r="N81" s="18" t="n">
        <f aca="false">Premissas!$B$4*M81</f>
        <v>3500</v>
      </c>
      <c r="O81" s="18" t="n">
        <f aca="false">N81*K81</f>
        <v>187.6</v>
      </c>
      <c r="P81" s="18" t="n">
        <f aca="false">P80+O81</f>
        <v>5165.3</v>
      </c>
      <c r="Q81" s="11" t="s">
        <v>51</v>
      </c>
    </row>
    <row r="82" customFormat="false" ht="15" hidden="false" customHeight="false" outlineLevel="0" collapsed="false">
      <c r="A82" s="11" t="n">
        <v>81</v>
      </c>
      <c r="B82" s="11" t="s">
        <v>118</v>
      </c>
      <c r="C82" s="11" t="s">
        <v>49</v>
      </c>
      <c r="D82" s="11" t="s">
        <v>50</v>
      </c>
      <c r="E82" s="12"/>
      <c r="F82" s="13" t="n">
        <v>0.2703</v>
      </c>
      <c r="G82" s="14" t="n">
        <v>1.184</v>
      </c>
      <c r="H82" s="15" t="n">
        <v>46055</v>
      </c>
      <c r="I82" s="15" t="n">
        <v>46057</v>
      </c>
      <c r="J82" s="16" t="n">
        <v>2</v>
      </c>
      <c r="K82" s="17" t="n">
        <v>0.0513</v>
      </c>
      <c r="L82" s="11" t="s">
        <v>20</v>
      </c>
      <c r="M82" s="13" t="n">
        <f aca="false">IF(Q82="sim",0,IFERROR(INDEX(Premissas!$C$8:$C$15,MATCH(L82,Premissas!$A$8:$A$15,0)),0))</f>
        <v>0.035</v>
      </c>
      <c r="N82" s="18" t="n">
        <f aca="false">Premissas!$B$4*M82</f>
        <v>3500</v>
      </c>
      <c r="O82" s="18" t="n">
        <f aca="false">N82*K82</f>
        <v>179.55</v>
      </c>
      <c r="P82" s="18" t="n">
        <f aca="false">P81+O82</f>
        <v>5344.85</v>
      </c>
      <c r="Q82" s="11" t="s">
        <v>51</v>
      </c>
    </row>
    <row r="83" customFormat="false" ht="15" hidden="false" customHeight="false" outlineLevel="0" collapsed="false">
      <c r="A83" s="11" t="n">
        <v>82</v>
      </c>
      <c r="B83" s="11" t="s">
        <v>119</v>
      </c>
      <c r="C83" s="11" t="s">
        <v>49</v>
      </c>
      <c r="D83" s="11" t="s">
        <v>50</v>
      </c>
      <c r="E83" s="12"/>
      <c r="F83" s="13" t="n">
        <v>0.5714</v>
      </c>
      <c r="G83" s="14" t="n">
        <v>1.059</v>
      </c>
      <c r="H83" s="15" t="n">
        <v>46055</v>
      </c>
      <c r="I83" s="15" t="n">
        <v>46057</v>
      </c>
      <c r="J83" s="16" t="n">
        <v>2</v>
      </c>
      <c r="K83" s="17" t="n">
        <v>0.0536</v>
      </c>
      <c r="L83" s="11" t="s">
        <v>20</v>
      </c>
      <c r="M83" s="13" t="n">
        <f aca="false">IF(Q83="sim",0,IFERROR(INDEX(Premissas!$C$8:$C$15,MATCH(L83,Premissas!$A$8:$A$15,0)),0))</f>
        <v>0.035</v>
      </c>
      <c r="N83" s="18" t="n">
        <f aca="false">Premissas!$B$4*M83</f>
        <v>3500</v>
      </c>
      <c r="O83" s="18" t="n">
        <f aca="false">N83*K83</f>
        <v>187.6</v>
      </c>
      <c r="P83" s="18" t="n">
        <f aca="false">P82+O83</f>
        <v>5532.45</v>
      </c>
      <c r="Q83" s="11" t="s">
        <v>51</v>
      </c>
    </row>
    <row r="84" customFormat="false" ht="15" hidden="false" customHeight="false" outlineLevel="0" collapsed="false">
      <c r="A84" s="11" t="n">
        <v>83</v>
      </c>
      <c r="B84" s="11" t="s">
        <v>120</v>
      </c>
      <c r="C84" s="11" t="s">
        <v>49</v>
      </c>
      <c r="D84" s="11" t="s">
        <v>50</v>
      </c>
      <c r="E84" s="12"/>
      <c r="F84" s="13" t="n">
        <v>0.5579</v>
      </c>
      <c r="G84" s="14" t="n">
        <v>1.74</v>
      </c>
      <c r="H84" s="15" t="n">
        <v>46055</v>
      </c>
      <c r="I84" s="15" t="n">
        <v>46058</v>
      </c>
      <c r="J84" s="16" t="n">
        <v>3</v>
      </c>
      <c r="K84" s="17" t="n">
        <v>-0.0782</v>
      </c>
      <c r="L84" s="11" t="s">
        <v>20</v>
      </c>
      <c r="M84" s="13" t="n">
        <f aca="false">IF(Q84="sim",0,IFERROR(INDEX(Premissas!$C$8:$C$15,MATCH(L84,Premissas!$A$8:$A$15,0)),0))</f>
        <v>0.035</v>
      </c>
      <c r="N84" s="18" t="n">
        <f aca="false">Premissas!$B$4*M84</f>
        <v>3500</v>
      </c>
      <c r="O84" s="18" t="n">
        <f aca="false">N84*K84</f>
        <v>-273.7</v>
      </c>
      <c r="P84" s="18" t="n">
        <f aca="false">P83+O84</f>
        <v>5258.75</v>
      </c>
      <c r="Q84" s="11" t="s">
        <v>51</v>
      </c>
    </row>
    <row r="85" customFormat="false" ht="15" hidden="false" customHeight="false" outlineLevel="0" collapsed="false">
      <c r="A85" s="11" t="n">
        <v>84</v>
      </c>
      <c r="B85" s="11" t="s">
        <v>121</v>
      </c>
      <c r="C85" s="11" t="s">
        <v>49</v>
      </c>
      <c r="D85" s="11" t="s">
        <v>50</v>
      </c>
      <c r="E85" s="12"/>
      <c r="F85" s="13" t="n">
        <v>0.619</v>
      </c>
      <c r="G85" s="14"/>
      <c r="H85" s="15" t="n">
        <v>46045</v>
      </c>
      <c r="I85" s="15" t="n">
        <v>46058</v>
      </c>
      <c r="J85" s="16" t="n">
        <v>13</v>
      </c>
      <c r="K85" s="17" t="n">
        <v>-0.1942</v>
      </c>
      <c r="L85" s="11" t="s">
        <v>20</v>
      </c>
      <c r="M85" s="13" t="n">
        <f aca="false">IF(Q85="sim",0,IFERROR(INDEX(Premissas!$C$8:$C$15,MATCH(L85,Premissas!$A$8:$A$15,0)),0))</f>
        <v>0.035</v>
      </c>
      <c r="N85" s="18" t="n">
        <f aca="false">Premissas!$B$4*M85</f>
        <v>3500</v>
      </c>
      <c r="O85" s="18" t="n">
        <f aca="false">N85*K85</f>
        <v>-679.7</v>
      </c>
      <c r="P85" s="18" t="n">
        <f aca="false">P84+O85</f>
        <v>4579.05</v>
      </c>
      <c r="Q85" s="11" t="s">
        <v>51</v>
      </c>
    </row>
    <row r="86" customFormat="false" ht="15" hidden="false" customHeight="false" outlineLevel="0" collapsed="false">
      <c r="A86" s="11" t="n">
        <v>85</v>
      </c>
      <c r="B86" s="11" t="s">
        <v>122</v>
      </c>
      <c r="C86" s="11" t="s">
        <v>49</v>
      </c>
      <c r="D86" s="11" t="s">
        <v>50</v>
      </c>
      <c r="E86" s="12"/>
      <c r="F86" s="13" t="n">
        <v>0.1286</v>
      </c>
      <c r="G86" s="14" t="n">
        <v>1.25</v>
      </c>
      <c r="H86" s="15" t="n">
        <v>46045</v>
      </c>
      <c r="I86" s="15" t="n">
        <v>46058</v>
      </c>
      <c r="J86" s="16" t="n">
        <v>13</v>
      </c>
      <c r="K86" s="17" t="n">
        <v>-0.017</v>
      </c>
      <c r="L86" s="11" t="s">
        <v>20</v>
      </c>
      <c r="M86" s="13" t="n">
        <f aca="false">IF(Q86="sim",0,IFERROR(INDEX(Premissas!$C$8:$C$15,MATCH(L86,Premissas!$A$8:$A$15,0)),0))</f>
        <v>0.035</v>
      </c>
      <c r="N86" s="18" t="n">
        <f aca="false">Premissas!$B$4*M86</f>
        <v>3500</v>
      </c>
      <c r="O86" s="18" t="n">
        <f aca="false">N86*K86</f>
        <v>-59.5</v>
      </c>
      <c r="P86" s="18" t="n">
        <f aca="false">P85+O86</f>
        <v>4519.55</v>
      </c>
      <c r="Q86" s="11" t="s">
        <v>51</v>
      </c>
    </row>
    <row r="87" customFormat="false" ht="15" hidden="false" customHeight="false" outlineLevel="0" collapsed="false">
      <c r="A87" s="11" t="n">
        <v>86</v>
      </c>
      <c r="B87" s="11" t="s">
        <v>123</v>
      </c>
      <c r="C87" s="11" t="s">
        <v>49</v>
      </c>
      <c r="D87" s="11" t="s">
        <v>50</v>
      </c>
      <c r="E87" s="12"/>
      <c r="F87" s="13" t="n">
        <v>0.3734</v>
      </c>
      <c r="G87" s="14" t="n">
        <v>1.175</v>
      </c>
      <c r="H87" s="15" t="n">
        <v>46055</v>
      </c>
      <c r="I87" s="15" t="n">
        <v>46058</v>
      </c>
      <c r="J87" s="16" t="n">
        <v>3</v>
      </c>
      <c r="K87" s="17" t="n">
        <v>0.0736</v>
      </c>
      <c r="L87" s="11" t="s">
        <v>20</v>
      </c>
      <c r="M87" s="13" t="n">
        <f aca="false">IF(Q87="sim",0,IFERROR(INDEX(Premissas!$C$8:$C$15,MATCH(L87,Premissas!$A$8:$A$15,0)),0))</f>
        <v>0.035</v>
      </c>
      <c r="N87" s="18" t="n">
        <f aca="false">Premissas!$B$4*M87</f>
        <v>3500</v>
      </c>
      <c r="O87" s="18" t="n">
        <f aca="false">N87*K87</f>
        <v>257.6</v>
      </c>
      <c r="P87" s="18" t="n">
        <f aca="false">P86+O87</f>
        <v>4777.15</v>
      </c>
      <c r="Q87" s="11" t="s">
        <v>51</v>
      </c>
    </row>
    <row r="88" customFormat="false" ht="15" hidden="false" customHeight="false" outlineLevel="0" collapsed="false">
      <c r="A88" s="11" t="n">
        <v>87</v>
      </c>
      <c r="B88" s="11" t="s">
        <v>124</v>
      </c>
      <c r="C88" s="11" t="s">
        <v>49</v>
      </c>
      <c r="D88" s="11" t="s">
        <v>50</v>
      </c>
      <c r="E88" s="12"/>
      <c r="F88" s="13" t="n">
        <v>0.3711</v>
      </c>
      <c r="G88" s="14" t="n">
        <v>1.477</v>
      </c>
      <c r="H88" s="15" t="n">
        <v>46048</v>
      </c>
      <c r="I88" s="15" t="n">
        <v>46058</v>
      </c>
      <c r="J88" s="16" t="n">
        <v>10</v>
      </c>
      <c r="K88" s="17" t="n">
        <v>0.0666</v>
      </c>
      <c r="L88" s="11" t="s">
        <v>20</v>
      </c>
      <c r="M88" s="13" t="n">
        <f aca="false">IF(Q88="sim",0,IFERROR(INDEX(Premissas!$C$8:$C$15,MATCH(L88,Premissas!$A$8:$A$15,0)),0))</f>
        <v>0.035</v>
      </c>
      <c r="N88" s="18" t="n">
        <f aca="false">Premissas!$B$4*M88</f>
        <v>3500</v>
      </c>
      <c r="O88" s="18" t="n">
        <f aca="false">N88*K88</f>
        <v>233.1</v>
      </c>
      <c r="P88" s="18" t="n">
        <f aca="false">P87+O88</f>
        <v>5010.25</v>
      </c>
      <c r="Q88" s="11" t="s">
        <v>51</v>
      </c>
    </row>
    <row r="89" customFormat="false" ht="15" hidden="false" customHeight="false" outlineLevel="0" collapsed="false">
      <c r="A89" s="11" t="n">
        <v>88</v>
      </c>
      <c r="B89" s="11" t="s">
        <v>125</v>
      </c>
      <c r="C89" s="11" t="s">
        <v>49</v>
      </c>
      <c r="D89" s="11" t="s">
        <v>50</v>
      </c>
      <c r="E89" s="12"/>
      <c r="F89" s="13" t="n">
        <v>0.3966</v>
      </c>
      <c r="G89" s="14" t="n">
        <v>1.529</v>
      </c>
      <c r="H89" s="15" t="n">
        <v>46036</v>
      </c>
      <c r="I89" s="15" t="n">
        <v>46058</v>
      </c>
      <c r="J89" s="16" t="n">
        <v>22</v>
      </c>
      <c r="K89" s="17" t="n">
        <v>0.0505</v>
      </c>
      <c r="L89" s="11" t="s">
        <v>20</v>
      </c>
      <c r="M89" s="13" t="n">
        <f aca="false">IF(Q89="sim",0,IFERROR(INDEX(Premissas!$C$8:$C$15,MATCH(L89,Premissas!$A$8:$A$15,0)),0))</f>
        <v>0.035</v>
      </c>
      <c r="N89" s="18" t="n">
        <f aca="false">Premissas!$B$4*M89</f>
        <v>3500</v>
      </c>
      <c r="O89" s="18" t="n">
        <f aca="false">N89*K89</f>
        <v>176.75</v>
      </c>
      <c r="P89" s="18" t="n">
        <f aca="false">P88+O89</f>
        <v>5187</v>
      </c>
      <c r="Q89" s="11" t="s">
        <v>51</v>
      </c>
    </row>
    <row r="90" customFormat="false" ht="15" hidden="false" customHeight="false" outlineLevel="0" collapsed="false">
      <c r="A90" s="11" t="n">
        <v>89</v>
      </c>
      <c r="B90" s="11" t="s">
        <v>126</v>
      </c>
      <c r="C90" s="11" t="s">
        <v>49</v>
      </c>
      <c r="D90" s="11" t="s">
        <v>50</v>
      </c>
      <c r="E90" s="12"/>
      <c r="F90" s="13" t="n">
        <v>0.6818</v>
      </c>
      <c r="G90" s="14" t="n">
        <v>1.353</v>
      </c>
      <c r="H90" s="15" t="n">
        <v>46057</v>
      </c>
      <c r="I90" s="15" t="n">
        <v>46058</v>
      </c>
      <c r="J90" s="16" t="n">
        <v>1</v>
      </c>
      <c r="K90" s="17" t="n">
        <v>0.0909</v>
      </c>
      <c r="L90" s="11" t="s">
        <v>20</v>
      </c>
      <c r="M90" s="13" t="n">
        <f aca="false">IF(Q90="sim",0,IFERROR(INDEX(Premissas!$C$8:$C$15,MATCH(L90,Premissas!$A$8:$A$15,0)),0))</f>
        <v>0.035</v>
      </c>
      <c r="N90" s="18" t="n">
        <f aca="false">Premissas!$B$4*M90</f>
        <v>3500</v>
      </c>
      <c r="O90" s="18" t="n">
        <f aca="false">N90*K90</f>
        <v>318.15</v>
      </c>
      <c r="P90" s="18" t="n">
        <f aca="false">P89+O90</f>
        <v>5505.15</v>
      </c>
      <c r="Q90" s="11" t="s">
        <v>51</v>
      </c>
    </row>
    <row r="91" customFormat="false" ht="15" hidden="false" customHeight="false" outlineLevel="0" collapsed="false">
      <c r="A91" s="11" t="n">
        <v>90</v>
      </c>
      <c r="B91" s="11" t="s">
        <v>127</v>
      </c>
      <c r="C91" s="11" t="s">
        <v>49</v>
      </c>
      <c r="D91" s="11" t="s">
        <v>50</v>
      </c>
      <c r="E91" s="12"/>
      <c r="F91" s="13" t="n">
        <v>0.6051</v>
      </c>
      <c r="G91" s="14" t="n">
        <v>1.423</v>
      </c>
      <c r="H91" s="15" t="n">
        <v>46052</v>
      </c>
      <c r="I91" s="15" t="n">
        <v>46058</v>
      </c>
      <c r="J91" s="16" t="n">
        <v>6</v>
      </c>
      <c r="K91" s="17" t="n">
        <v>0.0526</v>
      </c>
      <c r="L91" s="11" t="s">
        <v>10</v>
      </c>
      <c r="M91" s="13" t="n">
        <f aca="false">IF(Q91="sim",0,IFERROR(INDEX(Premissas!$C$8:$C$15,MATCH(L91,Premissas!$A$8:$A$15,0)),0))</f>
        <v>0.1</v>
      </c>
      <c r="N91" s="18" t="n">
        <f aca="false">Premissas!$B$4*M91</f>
        <v>10000</v>
      </c>
      <c r="O91" s="18" t="n">
        <f aca="false">N91*K91</f>
        <v>526</v>
      </c>
      <c r="P91" s="18" t="n">
        <f aca="false">P90+O91</f>
        <v>6031.15</v>
      </c>
      <c r="Q91" s="11" t="s">
        <v>51</v>
      </c>
    </row>
    <row r="92" customFormat="false" ht="15" hidden="false" customHeight="false" outlineLevel="0" collapsed="false">
      <c r="A92" s="11" t="n">
        <v>91</v>
      </c>
      <c r="B92" s="11" t="s">
        <v>128</v>
      </c>
      <c r="C92" s="11" t="s">
        <v>49</v>
      </c>
      <c r="D92" s="11" t="s">
        <v>50</v>
      </c>
      <c r="E92" s="12"/>
      <c r="F92" s="13" t="n">
        <v>0.4545</v>
      </c>
      <c r="G92" s="14" t="n">
        <v>1.329</v>
      </c>
      <c r="H92" s="15" t="n">
        <v>46042</v>
      </c>
      <c r="I92" s="15" t="n">
        <v>46059</v>
      </c>
      <c r="J92" s="16" t="n">
        <v>17</v>
      </c>
      <c r="K92" s="17" t="n">
        <v>-0.0181</v>
      </c>
      <c r="L92" s="11" t="s">
        <v>20</v>
      </c>
      <c r="M92" s="13" t="n">
        <f aca="false">IF(Q92="sim",0,IFERROR(INDEX(Premissas!$C$8:$C$15,MATCH(L92,Premissas!$A$8:$A$15,0)),0))</f>
        <v>0.035</v>
      </c>
      <c r="N92" s="18" t="n">
        <f aca="false">Premissas!$B$4*M92</f>
        <v>3500</v>
      </c>
      <c r="O92" s="18" t="n">
        <f aca="false">N92*K92</f>
        <v>-63.35</v>
      </c>
      <c r="P92" s="18" t="n">
        <f aca="false">P91+O92</f>
        <v>5967.8</v>
      </c>
      <c r="Q92" s="11" t="s">
        <v>51</v>
      </c>
    </row>
    <row r="93" customFormat="false" ht="15" hidden="false" customHeight="false" outlineLevel="0" collapsed="false">
      <c r="A93" s="11" t="n">
        <v>92</v>
      </c>
      <c r="B93" s="11" t="s">
        <v>129</v>
      </c>
      <c r="C93" s="11" t="s">
        <v>49</v>
      </c>
      <c r="D93" s="11" t="s">
        <v>50</v>
      </c>
      <c r="E93" s="12"/>
      <c r="F93" s="13" t="n">
        <v>0.5366</v>
      </c>
      <c r="G93" s="14" t="n">
        <v>2.004</v>
      </c>
      <c r="H93" s="15" t="n">
        <v>46049</v>
      </c>
      <c r="I93" s="15" t="n">
        <v>46059</v>
      </c>
      <c r="J93" s="16" t="n">
        <v>10</v>
      </c>
      <c r="K93" s="17" t="n">
        <v>-0.0515</v>
      </c>
      <c r="L93" s="11" t="s">
        <v>20</v>
      </c>
      <c r="M93" s="13" t="n">
        <f aca="false">IF(Q93="sim",0,IFERROR(INDEX(Premissas!$C$8:$C$15,MATCH(L93,Premissas!$A$8:$A$15,0)),0))</f>
        <v>0.035</v>
      </c>
      <c r="N93" s="18" t="n">
        <f aca="false">Premissas!$B$4*M93</f>
        <v>3500</v>
      </c>
      <c r="O93" s="18" t="n">
        <f aca="false">N93*K93</f>
        <v>-180.25</v>
      </c>
      <c r="P93" s="18" t="n">
        <f aca="false">P92+O93</f>
        <v>5787.55</v>
      </c>
      <c r="Q93" s="11" t="s">
        <v>51</v>
      </c>
    </row>
    <row r="94" customFormat="false" ht="15" hidden="false" customHeight="false" outlineLevel="0" collapsed="false">
      <c r="A94" s="11" t="n">
        <v>93</v>
      </c>
      <c r="B94" s="11" t="s">
        <v>130</v>
      </c>
      <c r="C94" s="11" t="s">
        <v>49</v>
      </c>
      <c r="D94" s="11" t="s">
        <v>50</v>
      </c>
      <c r="E94" s="12"/>
      <c r="F94" s="13" t="n">
        <v>0.6071</v>
      </c>
      <c r="G94" s="14" t="n">
        <v>1.453</v>
      </c>
      <c r="H94" s="15" t="n">
        <v>46058</v>
      </c>
      <c r="I94" s="15" t="n">
        <v>46059</v>
      </c>
      <c r="J94" s="16" t="n">
        <v>1</v>
      </c>
      <c r="K94" s="17" t="n">
        <v>0.1122</v>
      </c>
      <c r="L94" s="11" t="s">
        <v>10</v>
      </c>
      <c r="M94" s="13" t="n">
        <f aca="false">IF(Q94="sim",0,IFERROR(INDEX(Premissas!$C$8:$C$15,MATCH(L94,Premissas!$A$8:$A$15,0)),0))</f>
        <v>0.1</v>
      </c>
      <c r="N94" s="18" t="n">
        <f aca="false">Premissas!$B$4*M94</f>
        <v>10000</v>
      </c>
      <c r="O94" s="18" t="n">
        <f aca="false">N94*K94</f>
        <v>1122</v>
      </c>
      <c r="P94" s="18" t="n">
        <f aca="false">P93+O94</f>
        <v>6909.55</v>
      </c>
      <c r="Q94" s="11" t="s">
        <v>51</v>
      </c>
    </row>
    <row r="95" customFormat="false" ht="15" hidden="false" customHeight="false" outlineLevel="0" collapsed="false">
      <c r="A95" s="11" t="n">
        <v>94</v>
      </c>
      <c r="B95" s="11" t="s">
        <v>131</v>
      </c>
      <c r="C95" s="11" t="s">
        <v>49</v>
      </c>
      <c r="D95" s="11" t="s">
        <v>50</v>
      </c>
      <c r="E95" s="12"/>
      <c r="F95" s="13" t="n">
        <v>0.5954</v>
      </c>
      <c r="G95" s="14" t="n">
        <v>1.642</v>
      </c>
      <c r="H95" s="15" t="n">
        <v>46056</v>
      </c>
      <c r="I95" s="15" t="n">
        <v>46059</v>
      </c>
      <c r="J95" s="16" t="n">
        <v>3</v>
      </c>
      <c r="K95" s="17" t="n">
        <v>0.0506</v>
      </c>
      <c r="L95" s="11" t="s">
        <v>20</v>
      </c>
      <c r="M95" s="13" t="n">
        <f aca="false">IF(Q95="sim",0,IFERROR(INDEX(Premissas!$C$8:$C$15,MATCH(L95,Premissas!$A$8:$A$15,0)),0))</f>
        <v>0.035</v>
      </c>
      <c r="N95" s="18" t="n">
        <f aca="false">Premissas!$B$4*M95</f>
        <v>3500</v>
      </c>
      <c r="O95" s="18" t="n">
        <f aca="false">N95*K95</f>
        <v>177.1</v>
      </c>
      <c r="P95" s="18" t="n">
        <f aca="false">P94+O95</f>
        <v>7086.65</v>
      </c>
      <c r="Q95" s="11" t="s">
        <v>51</v>
      </c>
    </row>
    <row r="96" customFormat="false" ht="15" hidden="false" customHeight="false" outlineLevel="0" collapsed="false">
      <c r="A96" s="11" t="n">
        <v>95</v>
      </c>
      <c r="B96" s="11" t="s">
        <v>72</v>
      </c>
      <c r="C96" s="11" t="s">
        <v>49</v>
      </c>
      <c r="D96" s="11" t="s">
        <v>50</v>
      </c>
      <c r="E96" s="12"/>
      <c r="F96" s="13" t="n">
        <v>0.6875</v>
      </c>
      <c r="G96" s="14"/>
      <c r="H96" s="15" t="n">
        <v>46055</v>
      </c>
      <c r="I96" s="15" t="n">
        <v>46059</v>
      </c>
      <c r="J96" s="16" t="n">
        <v>4</v>
      </c>
      <c r="K96" s="17" t="n">
        <v>0.0517</v>
      </c>
      <c r="L96" s="11" t="s">
        <v>20</v>
      </c>
      <c r="M96" s="13" t="n">
        <f aca="false">IF(Q96="sim",0,IFERROR(INDEX(Premissas!$C$8:$C$15,MATCH(L96,Premissas!$A$8:$A$15,0)),0))</f>
        <v>0.035</v>
      </c>
      <c r="N96" s="18" t="n">
        <f aca="false">Premissas!$B$4*M96</f>
        <v>3500</v>
      </c>
      <c r="O96" s="18" t="n">
        <f aca="false">N96*K96</f>
        <v>180.95</v>
      </c>
      <c r="P96" s="18" t="n">
        <f aca="false">P95+O96</f>
        <v>7267.6</v>
      </c>
      <c r="Q96" s="11" t="s">
        <v>51</v>
      </c>
    </row>
    <row r="97" customFormat="false" ht="15" hidden="false" customHeight="false" outlineLevel="0" collapsed="false">
      <c r="A97" s="11" t="n">
        <v>96</v>
      </c>
      <c r="B97" s="11" t="s">
        <v>62</v>
      </c>
      <c r="C97" s="11" t="s">
        <v>49</v>
      </c>
      <c r="D97" s="11" t="s">
        <v>50</v>
      </c>
      <c r="E97" s="12"/>
      <c r="F97" s="13" t="n">
        <v>0.5392</v>
      </c>
      <c r="G97" s="14" t="n">
        <v>1.545</v>
      </c>
      <c r="H97" s="15" t="n">
        <v>46059</v>
      </c>
      <c r="I97" s="15" t="n">
        <v>46062</v>
      </c>
      <c r="J97" s="16" t="n">
        <v>3</v>
      </c>
      <c r="K97" s="17" t="n">
        <v>-0.1655</v>
      </c>
      <c r="L97" s="11" t="s">
        <v>20</v>
      </c>
      <c r="M97" s="13" t="n">
        <f aca="false">IF(Q97="sim",0,IFERROR(INDEX(Premissas!$C$8:$C$15,MATCH(L97,Premissas!$A$8:$A$15,0)),0))</f>
        <v>0.035</v>
      </c>
      <c r="N97" s="18" t="n">
        <f aca="false">Premissas!$B$4*M97</f>
        <v>3500</v>
      </c>
      <c r="O97" s="18" t="n">
        <f aca="false">N97*K97</f>
        <v>-579.25</v>
      </c>
      <c r="P97" s="18" t="n">
        <f aca="false">P96+O97</f>
        <v>6688.35</v>
      </c>
      <c r="Q97" s="11" t="s">
        <v>51</v>
      </c>
    </row>
    <row r="98" customFormat="false" ht="15" hidden="false" customHeight="false" outlineLevel="0" collapsed="false">
      <c r="A98" s="11" t="n">
        <v>97</v>
      </c>
      <c r="B98" s="11" t="s">
        <v>132</v>
      </c>
      <c r="C98" s="11" t="s">
        <v>49</v>
      </c>
      <c r="D98" s="11" t="s">
        <v>50</v>
      </c>
      <c r="E98" s="12"/>
      <c r="F98" s="13" t="n">
        <v>0.7016</v>
      </c>
      <c r="G98" s="14" t="n">
        <v>1.583</v>
      </c>
      <c r="H98" s="15" t="n">
        <v>46062</v>
      </c>
      <c r="I98" s="15" t="n">
        <v>46062</v>
      </c>
      <c r="J98" s="16" t="n">
        <v>0</v>
      </c>
      <c r="K98" s="17" t="n">
        <v>0</v>
      </c>
      <c r="L98" s="11" t="s">
        <v>10</v>
      </c>
      <c r="M98" s="13" t="n">
        <f aca="false">IF(Q98="sim",0,IFERROR(INDEX(Premissas!$C$8:$C$15,MATCH(L98,Premissas!$A$8:$A$15,0)),0))</f>
        <v>0.1</v>
      </c>
      <c r="N98" s="18" t="n">
        <f aca="false">Premissas!$B$4*M98</f>
        <v>10000</v>
      </c>
      <c r="O98" s="18" t="n">
        <f aca="false">N98*K98</f>
        <v>0</v>
      </c>
      <c r="P98" s="18" t="n">
        <f aca="false">P97+O98</f>
        <v>6688.35</v>
      </c>
      <c r="Q98" s="11" t="s">
        <v>51</v>
      </c>
    </row>
    <row r="99" customFormat="false" ht="15" hidden="false" customHeight="false" outlineLevel="0" collapsed="false">
      <c r="A99" s="11" t="n">
        <v>98</v>
      </c>
      <c r="B99" s="11" t="s">
        <v>133</v>
      </c>
      <c r="C99" s="11" t="s">
        <v>49</v>
      </c>
      <c r="D99" s="11" t="s">
        <v>50</v>
      </c>
      <c r="E99" s="12"/>
      <c r="F99" s="13" t="n">
        <v>0.5344</v>
      </c>
      <c r="G99" s="14" t="n">
        <v>1.28</v>
      </c>
      <c r="H99" s="15" t="n">
        <v>46049</v>
      </c>
      <c r="I99" s="15" t="n">
        <v>46062</v>
      </c>
      <c r="J99" s="16" t="n">
        <v>13</v>
      </c>
      <c r="K99" s="17" t="n">
        <v>0.0577</v>
      </c>
      <c r="L99" s="11" t="s">
        <v>20</v>
      </c>
      <c r="M99" s="13" t="n">
        <f aca="false">IF(Q99="sim",0,IFERROR(INDEX(Premissas!$C$8:$C$15,MATCH(L99,Premissas!$A$8:$A$15,0)),0))</f>
        <v>0.035</v>
      </c>
      <c r="N99" s="18" t="n">
        <f aca="false">Premissas!$B$4*M99</f>
        <v>3500</v>
      </c>
      <c r="O99" s="18" t="n">
        <f aca="false">N99*K99</f>
        <v>201.95</v>
      </c>
      <c r="P99" s="18" t="n">
        <f aca="false">P98+O99</f>
        <v>6890.3</v>
      </c>
      <c r="Q99" s="11" t="s">
        <v>51</v>
      </c>
    </row>
    <row r="100" customFormat="false" ht="15" hidden="false" customHeight="false" outlineLevel="0" collapsed="false">
      <c r="A100" s="11" t="n">
        <v>99</v>
      </c>
      <c r="B100" s="11" t="s">
        <v>56</v>
      </c>
      <c r="C100" s="11" t="s">
        <v>49</v>
      </c>
      <c r="D100" s="11" t="s">
        <v>50</v>
      </c>
      <c r="E100" s="12"/>
      <c r="F100" s="13" t="n">
        <v>0.5706</v>
      </c>
      <c r="G100" s="14" t="n">
        <v>1.48</v>
      </c>
      <c r="H100" s="15" t="n">
        <v>46057</v>
      </c>
      <c r="I100" s="15" t="n">
        <v>46062</v>
      </c>
      <c r="J100" s="16" t="n">
        <v>5</v>
      </c>
      <c r="K100" s="17" t="n">
        <v>0.051</v>
      </c>
      <c r="L100" s="11" t="s">
        <v>20</v>
      </c>
      <c r="M100" s="13" t="n">
        <f aca="false">IF(Q100="sim",0,IFERROR(INDEX(Premissas!$C$8:$C$15,MATCH(L100,Premissas!$A$8:$A$15,0)),0))</f>
        <v>0.035</v>
      </c>
      <c r="N100" s="18" t="n">
        <f aca="false">Premissas!$B$4*M100</f>
        <v>3500</v>
      </c>
      <c r="O100" s="18" t="n">
        <f aca="false">N100*K100</f>
        <v>178.5</v>
      </c>
      <c r="P100" s="18" t="n">
        <f aca="false">P99+O100</f>
        <v>7068.8</v>
      </c>
      <c r="Q100" s="11" t="s">
        <v>51</v>
      </c>
    </row>
    <row r="101" customFormat="false" ht="15" hidden="false" customHeight="false" outlineLevel="0" collapsed="false">
      <c r="A101" s="11" t="n">
        <v>100</v>
      </c>
      <c r="B101" s="11" t="s">
        <v>56</v>
      </c>
      <c r="C101" s="11" t="s">
        <v>49</v>
      </c>
      <c r="D101" s="11" t="s">
        <v>50</v>
      </c>
      <c r="E101" s="12"/>
      <c r="F101" s="13" t="n">
        <v>0.5706</v>
      </c>
      <c r="G101" s="14" t="n">
        <v>1.48</v>
      </c>
      <c r="H101" s="15" t="n">
        <v>46057</v>
      </c>
      <c r="I101" s="15" t="n">
        <v>46062</v>
      </c>
      <c r="J101" s="16" t="n">
        <v>5</v>
      </c>
      <c r="K101" s="17" t="n">
        <v>0.051</v>
      </c>
      <c r="L101" s="11" t="s">
        <v>20</v>
      </c>
      <c r="M101" s="13" t="n">
        <f aca="false">IF(Q101="sim",0,IFERROR(INDEX(Premissas!$C$8:$C$15,MATCH(L101,Premissas!$A$8:$A$15,0)),0))</f>
        <v>0.035</v>
      </c>
      <c r="N101" s="18" t="n">
        <f aca="false">Premissas!$B$4*M101</f>
        <v>3500</v>
      </c>
      <c r="O101" s="18" t="n">
        <f aca="false">N101*K101</f>
        <v>178.5</v>
      </c>
      <c r="P101" s="18" t="n">
        <f aca="false">P100+O101</f>
        <v>7247.3</v>
      </c>
      <c r="Q101" s="11" t="s">
        <v>51</v>
      </c>
    </row>
    <row r="102" customFormat="false" ht="15" hidden="false" customHeight="false" outlineLevel="0" collapsed="false">
      <c r="A102" s="11" t="n">
        <v>101</v>
      </c>
      <c r="B102" s="11" t="s">
        <v>134</v>
      </c>
      <c r="C102" s="11" t="s">
        <v>49</v>
      </c>
      <c r="D102" s="11" t="s">
        <v>50</v>
      </c>
      <c r="E102" s="12"/>
      <c r="F102" s="13" t="n">
        <v>0.5068</v>
      </c>
      <c r="G102" s="14" t="n">
        <v>1.581</v>
      </c>
      <c r="H102" s="15" t="n">
        <v>46056</v>
      </c>
      <c r="I102" s="15" t="n">
        <v>46062</v>
      </c>
      <c r="J102" s="16" t="n">
        <v>6</v>
      </c>
      <c r="K102" s="17" t="n">
        <v>0.054</v>
      </c>
      <c r="L102" s="11" t="s">
        <v>20</v>
      </c>
      <c r="M102" s="13" t="n">
        <f aca="false">IF(Q102="sim",0,IFERROR(INDEX(Premissas!$C$8:$C$15,MATCH(L102,Premissas!$A$8:$A$15,0)),0))</f>
        <v>0.035</v>
      </c>
      <c r="N102" s="18" t="n">
        <f aca="false">Premissas!$B$4*M102</f>
        <v>3500</v>
      </c>
      <c r="O102" s="18" t="n">
        <f aca="false">N102*K102</f>
        <v>189</v>
      </c>
      <c r="P102" s="18" t="n">
        <f aca="false">P101+O102</f>
        <v>7436.3</v>
      </c>
      <c r="Q102" s="11" t="s">
        <v>51</v>
      </c>
    </row>
    <row r="103" customFormat="false" ht="15" hidden="false" customHeight="false" outlineLevel="0" collapsed="false">
      <c r="A103" s="11" t="n">
        <v>102</v>
      </c>
      <c r="B103" s="11" t="s">
        <v>120</v>
      </c>
      <c r="C103" s="11" t="s">
        <v>49</v>
      </c>
      <c r="D103" s="11" t="s">
        <v>50</v>
      </c>
      <c r="E103" s="12"/>
      <c r="F103" s="13" t="n">
        <v>0.5579</v>
      </c>
      <c r="G103" s="14" t="n">
        <v>1.705</v>
      </c>
      <c r="H103" s="15" t="n">
        <v>46059</v>
      </c>
      <c r="I103" s="15" t="n">
        <v>46062</v>
      </c>
      <c r="J103" s="16" t="n">
        <v>3</v>
      </c>
      <c r="K103" s="17" t="n">
        <v>0.0528</v>
      </c>
      <c r="L103" s="11" t="s">
        <v>20</v>
      </c>
      <c r="M103" s="13" t="n">
        <f aca="false">IF(Q103="sim",0,IFERROR(INDEX(Premissas!$C$8:$C$15,MATCH(L103,Premissas!$A$8:$A$15,0)),0))</f>
        <v>0.035</v>
      </c>
      <c r="N103" s="18" t="n">
        <f aca="false">Premissas!$B$4*M103</f>
        <v>3500</v>
      </c>
      <c r="O103" s="18" t="n">
        <f aca="false">N103*K103</f>
        <v>184.8</v>
      </c>
      <c r="P103" s="18" t="n">
        <f aca="false">P102+O103</f>
        <v>7621.1</v>
      </c>
      <c r="Q103" s="11" t="s">
        <v>51</v>
      </c>
    </row>
    <row r="104" customFormat="false" ht="15" hidden="false" customHeight="false" outlineLevel="0" collapsed="false">
      <c r="A104" s="11" t="n">
        <v>103</v>
      </c>
      <c r="B104" s="11" t="s">
        <v>135</v>
      </c>
      <c r="C104" s="11" t="s">
        <v>49</v>
      </c>
      <c r="D104" s="11" t="s">
        <v>50</v>
      </c>
      <c r="E104" s="12"/>
      <c r="F104" s="13" t="n">
        <v>0.4</v>
      </c>
      <c r="G104" s="14"/>
      <c r="H104" s="15" t="n">
        <v>46045</v>
      </c>
      <c r="I104" s="15" t="n">
        <v>46062</v>
      </c>
      <c r="J104" s="16" t="n">
        <v>17</v>
      </c>
      <c r="K104" s="17" t="n">
        <v>0.0518</v>
      </c>
      <c r="L104" s="11" t="s">
        <v>20</v>
      </c>
      <c r="M104" s="13" t="n">
        <f aca="false">IF(Q104="sim",0,IFERROR(INDEX(Premissas!$C$8:$C$15,MATCH(L104,Premissas!$A$8:$A$15,0)),0))</f>
        <v>0.035</v>
      </c>
      <c r="N104" s="18" t="n">
        <f aca="false">Premissas!$B$4*M104</f>
        <v>3500</v>
      </c>
      <c r="O104" s="18" t="n">
        <f aca="false">N104*K104</f>
        <v>181.3</v>
      </c>
      <c r="P104" s="18" t="n">
        <f aca="false">P103+O104</f>
        <v>7802.4</v>
      </c>
      <c r="Q104" s="11" t="s">
        <v>51</v>
      </c>
    </row>
    <row r="105" customFormat="false" ht="15" hidden="false" customHeight="false" outlineLevel="0" collapsed="false">
      <c r="A105" s="11" t="n">
        <v>104</v>
      </c>
      <c r="B105" s="11" t="s">
        <v>136</v>
      </c>
      <c r="C105" s="11" t="s">
        <v>49</v>
      </c>
      <c r="D105" s="11" t="s">
        <v>50</v>
      </c>
      <c r="E105" s="12"/>
      <c r="F105" s="13" t="n">
        <v>0.4486</v>
      </c>
      <c r="G105" s="14" t="n">
        <v>1.202</v>
      </c>
      <c r="H105" s="15" t="n">
        <v>46050</v>
      </c>
      <c r="I105" s="15" t="n">
        <v>46063</v>
      </c>
      <c r="J105" s="16" t="n">
        <v>13</v>
      </c>
      <c r="K105" s="17" t="n">
        <v>-0.0166</v>
      </c>
      <c r="L105" s="11" t="s">
        <v>20</v>
      </c>
      <c r="M105" s="13" t="n">
        <f aca="false">IF(Q105="sim",0,IFERROR(INDEX(Premissas!$C$8:$C$15,MATCH(L105,Premissas!$A$8:$A$15,0)),0))</f>
        <v>0.035</v>
      </c>
      <c r="N105" s="18" t="n">
        <f aca="false">Premissas!$B$4*M105</f>
        <v>3500</v>
      </c>
      <c r="O105" s="18" t="n">
        <f aca="false">N105*K105</f>
        <v>-58.1</v>
      </c>
      <c r="P105" s="18" t="n">
        <f aca="false">P104+O105</f>
        <v>7744.3</v>
      </c>
      <c r="Q105" s="11" t="s">
        <v>51</v>
      </c>
    </row>
    <row r="106" customFormat="false" ht="15" hidden="false" customHeight="false" outlineLevel="0" collapsed="false">
      <c r="A106" s="11" t="n">
        <v>105</v>
      </c>
      <c r="B106" s="11" t="s">
        <v>132</v>
      </c>
      <c r="C106" s="11" t="s">
        <v>49</v>
      </c>
      <c r="D106" s="11" t="s">
        <v>50</v>
      </c>
      <c r="E106" s="12"/>
      <c r="F106" s="13" t="n">
        <v>0.7016</v>
      </c>
      <c r="G106" s="14" t="n">
        <v>1.583</v>
      </c>
      <c r="H106" s="15" t="n">
        <v>46062</v>
      </c>
      <c r="I106" s="15" t="n">
        <v>46063</v>
      </c>
      <c r="J106" s="16" t="n">
        <v>1</v>
      </c>
      <c r="K106" s="17" t="n">
        <v>-0.012</v>
      </c>
      <c r="L106" s="11" t="s">
        <v>10</v>
      </c>
      <c r="M106" s="13" t="n">
        <f aca="false">IF(Q106="sim",0,IFERROR(INDEX(Premissas!$C$8:$C$15,MATCH(L106,Premissas!$A$8:$A$15,0)),0))</f>
        <v>0.1</v>
      </c>
      <c r="N106" s="18" t="n">
        <f aca="false">Premissas!$B$4*M106</f>
        <v>10000</v>
      </c>
      <c r="O106" s="18" t="n">
        <f aca="false">N106*K106</f>
        <v>-120</v>
      </c>
      <c r="P106" s="18" t="n">
        <f aca="false">P105+O106</f>
        <v>7624.3</v>
      </c>
      <c r="Q106" s="11" t="s">
        <v>51</v>
      </c>
    </row>
    <row r="107" customFormat="false" ht="15" hidden="false" customHeight="false" outlineLevel="0" collapsed="false">
      <c r="A107" s="11" t="n">
        <v>106</v>
      </c>
      <c r="B107" s="11" t="s">
        <v>137</v>
      </c>
      <c r="C107" s="11" t="s">
        <v>49</v>
      </c>
      <c r="D107" s="11" t="s">
        <v>50</v>
      </c>
      <c r="E107" s="12"/>
      <c r="F107" s="13" t="n">
        <v>0.6444</v>
      </c>
      <c r="G107" s="14" t="n">
        <v>1.519</v>
      </c>
      <c r="H107" s="15" t="n">
        <v>46063</v>
      </c>
      <c r="I107" s="15" t="n">
        <v>46063</v>
      </c>
      <c r="J107" s="16" t="n">
        <v>0</v>
      </c>
      <c r="K107" s="17" t="n">
        <v>0</v>
      </c>
      <c r="L107" s="11" t="s">
        <v>10</v>
      </c>
      <c r="M107" s="13" t="n">
        <f aca="false">IF(Q107="sim",0,IFERROR(INDEX(Premissas!$C$8:$C$15,MATCH(L107,Premissas!$A$8:$A$15,0)),0))</f>
        <v>0.1</v>
      </c>
      <c r="N107" s="18" t="n">
        <f aca="false">Premissas!$B$4*M107</f>
        <v>10000</v>
      </c>
      <c r="O107" s="18" t="n">
        <f aca="false">N107*K107</f>
        <v>0</v>
      </c>
      <c r="P107" s="18" t="n">
        <f aca="false">P106+O107</f>
        <v>7624.3</v>
      </c>
      <c r="Q107" s="11" t="s">
        <v>51</v>
      </c>
    </row>
    <row r="108" customFormat="false" ht="15" hidden="false" customHeight="false" outlineLevel="0" collapsed="false">
      <c r="A108" s="11" t="n">
        <v>107</v>
      </c>
      <c r="B108" s="11" t="s">
        <v>138</v>
      </c>
      <c r="C108" s="11" t="s">
        <v>49</v>
      </c>
      <c r="D108" s="11" t="s">
        <v>50</v>
      </c>
      <c r="E108" s="12"/>
      <c r="F108" s="13" t="n">
        <v>0.7403</v>
      </c>
      <c r="G108" s="14" t="n">
        <v>1.746</v>
      </c>
      <c r="H108" s="15" t="n">
        <v>46062</v>
      </c>
      <c r="I108" s="15" t="n">
        <v>46063</v>
      </c>
      <c r="J108" s="16" t="n">
        <v>1</v>
      </c>
      <c r="K108" s="17" t="n">
        <v>-0.0577</v>
      </c>
      <c r="L108" s="11" t="s">
        <v>20</v>
      </c>
      <c r="M108" s="13" t="n">
        <f aca="false">IF(Q108="sim",0,IFERROR(INDEX(Premissas!$C$8:$C$15,MATCH(L108,Premissas!$A$8:$A$15,0)),0))</f>
        <v>0.035</v>
      </c>
      <c r="N108" s="18" t="n">
        <f aca="false">Premissas!$B$4*M108</f>
        <v>3500</v>
      </c>
      <c r="O108" s="18" t="n">
        <f aca="false">N108*K108</f>
        <v>-201.95</v>
      </c>
      <c r="P108" s="18" t="n">
        <f aca="false">P107+O108</f>
        <v>7422.35</v>
      </c>
      <c r="Q108" s="11" t="s">
        <v>51</v>
      </c>
    </row>
    <row r="109" customFormat="false" ht="15" hidden="false" customHeight="false" outlineLevel="0" collapsed="false">
      <c r="A109" s="11" t="n">
        <v>108</v>
      </c>
      <c r="B109" s="11" t="s">
        <v>139</v>
      </c>
      <c r="C109" s="11" t="s">
        <v>49</v>
      </c>
      <c r="D109" s="11" t="s">
        <v>50</v>
      </c>
      <c r="E109" s="12"/>
      <c r="F109" s="13" t="n">
        <v>0.6098</v>
      </c>
      <c r="G109" s="14" t="n">
        <v>1.445</v>
      </c>
      <c r="H109" s="15" t="n">
        <v>46062</v>
      </c>
      <c r="I109" s="15" t="n">
        <v>46063</v>
      </c>
      <c r="J109" s="16" t="n">
        <v>1</v>
      </c>
      <c r="K109" s="17" t="n">
        <v>0.2464</v>
      </c>
      <c r="L109" s="11" t="s">
        <v>10</v>
      </c>
      <c r="M109" s="13" t="n">
        <f aca="false">IF(Q109="sim",0,IFERROR(INDEX(Premissas!$C$8:$C$15,MATCH(L109,Premissas!$A$8:$A$15,0)),0))</f>
        <v>0.1</v>
      </c>
      <c r="N109" s="18" t="n">
        <f aca="false">Premissas!$B$4*M109</f>
        <v>10000</v>
      </c>
      <c r="O109" s="18" t="n">
        <f aca="false">N109*K109</f>
        <v>2464</v>
      </c>
      <c r="P109" s="18" t="n">
        <f aca="false">P108+O109</f>
        <v>9886.35</v>
      </c>
      <c r="Q109" s="11" t="s">
        <v>51</v>
      </c>
    </row>
    <row r="110" customFormat="false" ht="15" hidden="false" customHeight="false" outlineLevel="0" collapsed="false">
      <c r="A110" s="11" t="n">
        <v>109</v>
      </c>
      <c r="B110" s="11" t="s">
        <v>81</v>
      </c>
      <c r="C110" s="11" t="s">
        <v>49</v>
      </c>
      <c r="D110" s="11" t="s">
        <v>50</v>
      </c>
      <c r="E110" s="12"/>
      <c r="F110" s="13" t="n">
        <v>0.5943</v>
      </c>
      <c r="G110" s="14" t="n">
        <v>1.567</v>
      </c>
      <c r="H110" s="15" t="n">
        <v>46050</v>
      </c>
      <c r="I110" s="15" t="n">
        <v>46063</v>
      </c>
      <c r="J110" s="16" t="n">
        <v>13</v>
      </c>
      <c r="K110" s="17" t="n">
        <v>0.0509</v>
      </c>
      <c r="L110" s="11" t="s">
        <v>20</v>
      </c>
      <c r="M110" s="13" t="n">
        <f aca="false">IF(Q110="sim",0,IFERROR(INDEX(Premissas!$C$8:$C$15,MATCH(L110,Premissas!$A$8:$A$15,0)),0))</f>
        <v>0.035</v>
      </c>
      <c r="N110" s="18" t="n">
        <f aca="false">Premissas!$B$4*M110</f>
        <v>3500</v>
      </c>
      <c r="O110" s="18" t="n">
        <f aca="false">N110*K110</f>
        <v>178.15</v>
      </c>
      <c r="P110" s="18" t="n">
        <f aca="false">P109+O110</f>
        <v>10064.5</v>
      </c>
      <c r="Q110" s="11" t="s">
        <v>51</v>
      </c>
    </row>
    <row r="111" customFormat="false" ht="15" hidden="false" customHeight="false" outlineLevel="0" collapsed="false">
      <c r="A111" s="11" t="n">
        <v>110</v>
      </c>
      <c r="B111" s="11" t="s">
        <v>140</v>
      </c>
      <c r="C111" s="11" t="s">
        <v>49</v>
      </c>
      <c r="D111" s="11" t="s">
        <v>50</v>
      </c>
      <c r="E111" s="12"/>
      <c r="F111" s="13" t="n">
        <v>0.4528</v>
      </c>
      <c r="G111" s="14" t="n">
        <v>1.404</v>
      </c>
      <c r="H111" s="15" t="n">
        <v>46049</v>
      </c>
      <c r="I111" s="15" t="n">
        <v>46064</v>
      </c>
      <c r="J111" s="16" t="n">
        <v>15</v>
      </c>
      <c r="K111" s="17" t="n">
        <v>-0.0761</v>
      </c>
      <c r="L111" s="11" t="s">
        <v>20</v>
      </c>
      <c r="M111" s="13" t="n">
        <f aca="false">IF(Q111="sim",0,IFERROR(INDEX(Premissas!$C$8:$C$15,MATCH(L111,Premissas!$A$8:$A$15,0)),0))</f>
        <v>0.035</v>
      </c>
      <c r="N111" s="18" t="n">
        <f aca="false">Premissas!$B$4*M111</f>
        <v>3500</v>
      </c>
      <c r="O111" s="18" t="n">
        <f aca="false">N111*K111</f>
        <v>-266.35</v>
      </c>
      <c r="P111" s="18" t="n">
        <f aca="false">P110+O111</f>
        <v>9798.15</v>
      </c>
      <c r="Q111" s="11" t="s">
        <v>51</v>
      </c>
    </row>
    <row r="112" customFormat="false" ht="15" hidden="false" customHeight="false" outlineLevel="0" collapsed="false">
      <c r="A112" s="11" t="n">
        <v>111</v>
      </c>
      <c r="B112" s="11" t="s">
        <v>137</v>
      </c>
      <c r="C112" s="11" t="s">
        <v>49</v>
      </c>
      <c r="D112" s="11" t="s">
        <v>50</v>
      </c>
      <c r="E112" s="12"/>
      <c r="F112" s="13" t="n">
        <v>0.6444</v>
      </c>
      <c r="G112" s="14" t="n">
        <v>1.519</v>
      </c>
      <c r="H112" s="15" t="n">
        <v>46063</v>
      </c>
      <c r="I112" s="15" t="n">
        <v>46064</v>
      </c>
      <c r="J112" s="16" t="n">
        <v>1</v>
      </c>
      <c r="K112" s="17" t="n">
        <v>0.0408</v>
      </c>
      <c r="L112" s="11" t="s">
        <v>10</v>
      </c>
      <c r="M112" s="13" t="n">
        <f aca="false">IF(Q112="sim",0,IFERROR(INDEX(Premissas!$C$8:$C$15,MATCH(L112,Premissas!$A$8:$A$15,0)),0))</f>
        <v>0.1</v>
      </c>
      <c r="N112" s="18" t="n">
        <f aca="false">Premissas!$B$4*M112</f>
        <v>10000</v>
      </c>
      <c r="O112" s="18" t="n">
        <f aca="false">N112*K112</f>
        <v>408</v>
      </c>
      <c r="P112" s="18" t="n">
        <f aca="false">P111+O112</f>
        <v>10206.15</v>
      </c>
      <c r="Q112" s="11" t="s">
        <v>51</v>
      </c>
    </row>
    <row r="113" customFormat="false" ht="15" hidden="false" customHeight="false" outlineLevel="0" collapsed="false">
      <c r="A113" s="11" t="n">
        <v>112</v>
      </c>
      <c r="B113" s="11" t="s">
        <v>141</v>
      </c>
      <c r="C113" s="11" t="s">
        <v>49</v>
      </c>
      <c r="D113" s="11" t="s">
        <v>50</v>
      </c>
      <c r="E113" s="12"/>
      <c r="F113" s="13" t="n">
        <v>0.7111</v>
      </c>
      <c r="G113" s="14" t="n">
        <v>1.65</v>
      </c>
      <c r="H113" s="15" t="n">
        <v>46062</v>
      </c>
      <c r="I113" s="15" t="n">
        <v>46064</v>
      </c>
      <c r="J113" s="16" t="n">
        <v>2</v>
      </c>
      <c r="K113" s="17" t="n">
        <v>0.0244</v>
      </c>
      <c r="L113" s="11" t="s">
        <v>10</v>
      </c>
      <c r="M113" s="13" t="n">
        <f aca="false">IF(Q113="sim",0,IFERROR(INDEX(Premissas!$C$8:$C$15,MATCH(L113,Premissas!$A$8:$A$15,0)),0))</f>
        <v>0.1</v>
      </c>
      <c r="N113" s="18" t="n">
        <f aca="false">Premissas!$B$4*M113</f>
        <v>10000</v>
      </c>
      <c r="O113" s="18" t="n">
        <f aca="false">N113*K113</f>
        <v>244</v>
      </c>
      <c r="P113" s="18" t="n">
        <f aca="false">P112+O113</f>
        <v>10450.15</v>
      </c>
      <c r="Q113" s="11" t="s">
        <v>51</v>
      </c>
    </row>
    <row r="114" customFormat="false" ht="15" hidden="false" customHeight="false" outlineLevel="0" collapsed="false">
      <c r="A114" s="11" t="n">
        <v>113</v>
      </c>
      <c r="B114" s="11" t="s">
        <v>93</v>
      </c>
      <c r="C114" s="11" t="s">
        <v>49</v>
      </c>
      <c r="D114" s="11" t="s">
        <v>50</v>
      </c>
      <c r="E114" s="12"/>
      <c r="F114" s="13" t="n">
        <v>0.5333</v>
      </c>
      <c r="G114" s="14" t="n">
        <v>1.336</v>
      </c>
      <c r="H114" s="15" t="n">
        <v>46030</v>
      </c>
      <c r="I114" s="15" t="n">
        <v>46064</v>
      </c>
      <c r="J114" s="16" t="n">
        <v>34</v>
      </c>
      <c r="K114" s="17" t="n">
        <v>0.0609</v>
      </c>
      <c r="L114" s="11" t="s">
        <v>20</v>
      </c>
      <c r="M114" s="13" t="n">
        <f aca="false">IF(Q114="sim",0,IFERROR(INDEX(Premissas!$C$8:$C$15,MATCH(L114,Premissas!$A$8:$A$15,0)),0))</f>
        <v>0.035</v>
      </c>
      <c r="N114" s="18" t="n">
        <f aca="false">Premissas!$B$4*M114</f>
        <v>3500</v>
      </c>
      <c r="O114" s="18" t="n">
        <f aca="false">N114*K114</f>
        <v>213.15</v>
      </c>
      <c r="P114" s="18" t="n">
        <f aca="false">P113+O114</f>
        <v>10663.3</v>
      </c>
      <c r="Q114" s="11" t="s">
        <v>51</v>
      </c>
    </row>
    <row r="115" customFormat="false" ht="15" hidden="false" customHeight="false" outlineLevel="0" collapsed="false">
      <c r="A115" s="11" t="n">
        <v>114</v>
      </c>
      <c r="B115" s="11" t="s">
        <v>142</v>
      </c>
      <c r="C115" s="11" t="s">
        <v>49</v>
      </c>
      <c r="D115" s="11" t="s">
        <v>50</v>
      </c>
      <c r="E115" s="12"/>
      <c r="F115" s="13" t="n">
        <v>0.5075</v>
      </c>
      <c r="G115" s="14" t="n">
        <v>1.726</v>
      </c>
      <c r="H115" s="15" t="n">
        <v>46063</v>
      </c>
      <c r="I115" s="15" t="n">
        <v>46065</v>
      </c>
      <c r="J115" s="16" t="n">
        <v>2</v>
      </c>
      <c r="K115" s="17" t="n">
        <v>-0.0565</v>
      </c>
      <c r="L115" s="11" t="s">
        <v>20</v>
      </c>
      <c r="M115" s="13" t="n">
        <f aca="false">IF(Q115="sim",0,IFERROR(INDEX(Premissas!$C$8:$C$15,MATCH(L115,Premissas!$A$8:$A$15,0)),0))</f>
        <v>0.035</v>
      </c>
      <c r="N115" s="18" t="n">
        <f aca="false">Premissas!$B$4*M115</f>
        <v>3500</v>
      </c>
      <c r="O115" s="18" t="n">
        <f aca="false">N115*K115</f>
        <v>-197.75</v>
      </c>
      <c r="P115" s="18" t="n">
        <f aca="false">P114+O115</f>
        <v>10465.55</v>
      </c>
      <c r="Q115" s="11" t="s">
        <v>51</v>
      </c>
    </row>
    <row r="116" customFormat="false" ht="15" hidden="false" customHeight="false" outlineLevel="0" collapsed="false">
      <c r="A116" s="11" t="n">
        <v>115</v>
      </c>
      <c r="B116" s="11" t="s">
        <v>143</v>
      </c>
      <c r="C116" s="11" t="s">
        <v>49</v>
      </c>
      <c r="D116" s="11" t="s">
        <v>50</v>
      </c>
      <c r="E116" s="12"/>
      <c r="F116" s="13" t="n">
        <v>0.5522</v>
      </c>
      <c r="G116" s="14" t="n">
        <v>1.89</v>
      </c>
      <c r="H116" s="15" t="n">
        <v>46055</v>
      </c>
      <c r="I116" s="15" t="n">
        <v>46065</v>
      </c>
      <c r="J116" s="16" t="n">
        <v>10</v>
      </c>
      <c r="K116" s="17" t="n">
        <v>-0.0635</v>
      </c>
      <c r="L116" s="11" t="s">
        <v>20</v>
      </c>
      <c r="M116" s="13" t="n">
        <f aca="false">IF(Q116="sim",0,IFERROR(INDEX(Premissas!$C$8:$C$15,MATCH(L116,Premissas!$A$8:$A$15,0)),0))</f>
        <v>0.035</v>
      </c>
      <c r="N116" s="18" t="n">
        <f aca="false">Premissas!$B$4*M116</f>
        <v>3500</v>
      </c>
      <c r="O116" s="18" t="n">
        <f aca="false">N116*K116</f>
        <v>-222.25</v>
      </c>
      <c r="P116" s="18" t="n">
        <f aca="false">P115+O116</f>
        <v>10243.3</v>
      </c>
      <c r="Q116" s="11" t="s">
        <v>51</v>
      </c>
    </row>
    <row r="117" customFormat="false" ht="15" hidden="false" customHeight="false" outlineLevel="0" collapsed="false">
      <c r="A117" s="11" t="n">
        <v>116</v>
      </c>
      <c r="B117" s="11" t="s">
        <v>144</v>
      </c>
      <c r="C117" s="11" t="s">
        <v>49</v>
      </c>
      <c r="D117" s="11" t="s">
        <v>50</v>
      </c>
      <c r="E117" s="12"/>
      <c r="F117" s="13" t="n">
        <v>0.504</v>
      </c>
      <c r="G117" s="14" t="n">
        <v>1.461</v>
      </c>
      <c r="H117" s="15" t="n">
        <v>46052</v>
      </c>
      <c r="I117" s="15" t="n">
        <v>46065</v>
      </c>
      <c r="J117" s="16" t="n">
        <v>13</v>
      </c>
      <c r="K117" s="17" t="n">
        <v>0.3864</v>
      </c>
      <c r="L117" s="11" t="s">
        <v>20</v>
      </c>
      <c r="M117" s="13" t="n">
        <f aca="false">IF(Q117="sim",0,IFERROR(INDEX(Premissas!$C$8:$C$15,MATCH(L117,Premissas!$A$8:$A$15,0)),0))</f>
        <v>0.035</v>
      </c>
      <c r="N117" s="18" t="n">
        <f aca="false">Premissas!$B$4*M117</f>
        <v>3500</v>
      </c>
      <c r="O117" s="18" t="n">
        <f aca="false">N117*K117</f>
        <v>1352.4</v>
      </c>
      <c r="P117" s="18" t="n">
        <f aca="false">P116+O117</f>
        <v>11595.7</v>
      </c>
      <c r="Q117" s="11" t="s">
        <v>51</v>
      </c>
    </row>
    <row r="118" customFormat="false" ht="15" hidden="false" customHeight="false" outlineLevel="0" collapsed="false">
      <c r="A118" s="11" t="n">
        <v>117</v>
      </c>
      <c r="B118" s="11" t="s">
        <v>145</v>
      </c>
      <c r="C118" s="11" t="s">
        <v>49</v>
      </c>
      <c r="D118" s="11" t="s">
        <v>50</v>
      </c>
      <c r="E118" s="12"/>
      <c r="F118" s="13" t="n">
        <v>0.56</v>
      </c>
      <c r="G118" s="14"/>
      <c r="H118" s="15" t="n">
        <v>46055</v>
      </c>
      <c r="I118" s="15" t="n">
        <v>46065</v>
      </c>
      <c r="J118" s="16" t="n">
        <v>10</v>
      </c>
      <c r="K118" s="17" t="n">
        <v>-0.131</v>
      </c>
      <c r="L118" s="11" t="s">
        <v>20</v>
      </c>
      <c r="M118" s="13" t="n">
        <f aca="false">IF(Q118="sim",0,IFERROR(INDEX(Premissas!$C$8:$C$15,MATCH(L118,Premissas!$A$8:$A$15,0)),0))</f>
        <v>0.035</v>
      </c>
      <c r="N118" s="18" t="n">
        <f aca="false">Premissas!$B$4*M118</f>
        <v>3500</v>
      </c>
      <c r="O118" s="18" t="n">
        <f aca="false">N118*K118</f>
        <v>-458.5</v>
      </c>
      <c r="P118" s="18" t="n">
        <f aca="false">P117+O118</f>
        <v>11137.2</v>
      </c>
      <c r="Q118" s="11" t="s">
        <v>51</v>
      </c>
    </row>
    <row r="119" customFormat="false" ht="15" hidden="false" customHeight="false" outlineLevel="0" collapsed="false">
      <c r="A119" s="11" t="n">
        <v>118</v>
      </c>
      <c r="B119" s="11" t="s">
        <v>146</v>
      </c>
      <c r="C119" s="11" t="s">
        <v>49</v>
      </c>
      <c r="D119" s="11" t="s">
        <v>50</v>
      </c>
      <c r="E119" s="12"/>
      <c r="F119" s="13" t="n">
        <v>0.6531</v>
      </c>
      <c r="G119" s="14" t="n">
        <v>1.645</v>
      </c>
      <c r="H119" s="15" t="n">
        <v>46063</v>
      </c>
      <c r="I119" s="15" t="n">
        <v>46066</v>
      </c>
      <c r="J119" s="16" t="n">
        <v>3</v>
      </c>
      <c r="K119" s="17" t="n">
        <v>-0.071</v>
      </c>
      <c r="L119" s="11" t="s">
        <v>10</v>
      </c>
      <c r="M119" s="13" t="n">
        <f aca="false">IF(Q119="sim",0,IFERROR(INDEX(Premissas!$C$8:$C$15,MATCH(L119,Premissas!$A$8:$A$15,0)),0))</f>
        <v>0.1</v>
      </c>
      <c r="N119" s="18" t="n">
        <f aca="false">Premissas!$B$4*M119</f>
        <v>10000</v>
      </c>
      <c r="O119" s="18" t="n">
        <f aca="false">N119*K119</f>
        <v>-710</v>
      </c>
      <c r="P119" s="18" t="n">
        <f aca="false">P118+O119</f>
        <v>10427.2</v>
      </c>
      <c r="Q119" s="11" t="s">
        <v>51</v>
      </c>
    </row>
    <row r="120" customFormat="false" ht="15" hidden="false" customHeight="false" outlineLevel="0" collapsed="false">
      <c r="A120" s="11" t="n">
        <v>119</v>
      </c>
      <c r="B120" s="11" t="s">
        <v>147</v>
      </c>
      <c r="C120" s="11" t="s">
        <v>49</v>
      </c>
      <c r="D120" s="11" t="s">
        <v>50</v>
      </c>
      <c r="E120" s="12"/>
      <c r="F120" s="13" t="n">
        <v>0.6408</v>
      </c>
      <c r="G120" s="14" t="n">
        <v>1.464</v>
      </c>
      <c r="H120" s="15" t="n">
        <v>46062</v>
      </c>
      <c r="I120" s="15" t="n">
        <v>46066</v>
      </c>
      <c r="J120" s="16" t="n">
        <v>4</v>
      </c>
      <c r="K120" s="17" t="n">
        <v>0.106</v>
      </c>
      <c r="L120" s="11" t="s">
        <v>10</v>
      </c>
      <c r="M120" s="13" t="n">
        <f aca="false">IF(Q120="sim",0,IFERROR(INDEX(Premissas!$C$8:$C$15,MATCH(L120,Premissas!$A$8:$A$15,0)),0))</f>
        <v>0.1</v>
      </c>
      <c r="N120" s="18" t="n">
        <f aca="false">Premissas!$B$4*M120</f>
        <v>10000</v>
      </c>
      <c r="O120" s="18" t="n">
        <f aca="false">N120*K120</f>
        <v>1060</v>
      </c>
      <c r="P120" s="18" t="n">
        <f aca="false">P119+O120</f>
        <v>11487.2</v>
      </c>
      <c r="Q120" s="11" t="s">
        <v>51</v>
      </c>
    </row>
    <row r="121" customFormat="false" ht="15" hidden="false" customHeight="false" outlineLevel="0" collapsed="false">
      <c r="A121" s="11" t="n">
        <v>120</v>
      </c>
      <c r="B121" s="11" t="s">
        <v>148</v>
      </c>
      <c r="C121" s="11" t="s">
        <v>49</v>
      </c>
      <c r="D121" s="11" t="s">
        <v>50</v>
      </c>
      <c r="E121" s="12"/>
      <c r="F121" s="13" t="n">
        <v>0.7222</v>
      </c>
      <c r="G121" s="14" t="n">
        <v>1.514</v>
      </c>
      <c r="H121" s="15" t="n">
        <v>46063</v>
      </c>
      <c r="I121" s="15" t="n">
        <v>46070</v>
      </c>
      <c r="J121" s="16" t="n">
        <v>7</v>
      </c>
      <c r="K121" s="17" t="n">
        <v>-0.0981</v>
      </c>
      <c r="L121" s="11" t="s">
        <v>10</v>
      </c>
      <c r="M121" s="13" t="n">
        <f aca="false">IF(Q121="sim",0,IFERROR(INDEX(Premissas!$C$8:$C$15,MATCH(L121,Premissas!$A$8:$A$15,0)),0))</f>
        <v>0.1</v>
      </c>
      <c r="N121" s="18" t="n">
        <f aca="false">Premissas!$B$4*M121</f>
        <v>10000</v>
      </c>
      <c r="O121" s="18" t="n">
        <f aca="false">N121*K121</f>
        <v>-981</v>
      </c>
      <c r="P121" s="18" t="n">
        <f aca="false">P120+O121</f>
        <v>10506.2</v>
      </c>
      <c r="Q121" s="11" t="s">
        <v>51</v>
      </c>
    </row>
    <row r="122" customFormat="false" ht="15" hidden="false" customHeight="false" outlineLevel="0" collapsed="false">
      <c r="A122" s="11" t="n">
        <v>121</v>
      </c>
      <c r="B122" s="11" t="s">
        <v>149</v>
      </c>
      <c r="C122" s="11" t="s">
        <v>49</v>
      </c>
      <c r="D122" s="11" t="s">
        <v>50</v>
      </c>
      <c r="E122" s="12"/>
      <c r="F122" s="13" t="n">
        <v>0.5288</v>
      </c>
      <c r="G122" s="14" t="n">
        <v>1.719</v>
      </c>
      <c r="H122" s="15" t="n">
        <v>46052</v>
      </c>
      <c r="I122" s="15" t="n">
        <v>46070</v>
      </c>
      <c r="J122" s="16" t="n">
        <v>18</v>
      </c>
      <c r="K122" s="17" t="n">
        <v>0.0509</v>
      </c>
      <c r="L122" s="11" t="s">
        <v>20</v>
      </c>
      <c r="M122" s="13" t="n">
        <f aca="false">IF(Q122="sim",0,IFERROR(INDEX(Premissas!$C$8:$C$15,MATCH(L122,Premissas!$A$8:$A$15,0)),0))</f>
        <v>0.035</v>
      </c>
      <c r="N122" s="18" t="n">
        <f aca="false">Premissas!$B$4*M122</f>
        <v>3500</v>
      </c>
      <c r="O122" s="18" t="n">
        <f aca="false">N122*K122</f>
        <v>178.15</v>
      </c>
      <c r="P122" s="18" t="n">
        <f aca="false">P121+O122</f>
        <v>10684.35</v>
      </c>
      <c r="Q122" s="11" t="s">
        <v>51</v>
      </c>
    </row>
    <row r="123" customFormat="false" ht="15" hidden="false" customHeight="false" outlineLevel="0" collapsed="false">
      <c r="A123" s="11" t="n">
        <v>122</v>
      </c>
      <c r="B123" s="11" t="s">
        <v>150</v>
      </c>
      <c r="C123" s="11" t="s">
        <v>49</v>
      </c>
      <c r="D123" s="11" t="s">
        <v>50</v>
      </c>
      <c r="E123" s="12"/>
      <c r="F123" s="13" t="n">
        <v>0.5704</v>
      </c>
      <c r="G123" s="14" t="n">
        <v>1.539</v>
      </c>
      <c r="H123" s="15" t="n">
        <v>46064</v>
      </c>
      <c r="I123" s="15" t="n">
        <v>46071</v>
      </c>
      <c r="J123" s="16" t="n">
        <v>7</v>
      </c>
      <c r="K123" s="17" t="n">
        <v>0.0526</v>
      </c>
      <c r="L123" s="11" t="s">
        <v>20</v>
      </c>
      <c r="M123" s="13" t="n">
        <f aca="false">IF(Q123="sim",0,IFERROR(INDEX(Premissas!$C$8:$C$15,MATCH(L123,Premissas!$A$8:$A$15,0)),0))</f>
        <v>0.035</v>
      </c>
      <c r="N123" s="18" t="n">
        <f aca="false">Premissas!$B$4*M123</f>
        <v>3500</v>
      </c>
      <c r="O123" s="18" t="n">
        <f aca="false">N123*K123</f>
        <v>184.1</v>
      </c>
      <c r="P123" s="18" t="n">
        <f aca="false">P122+O123</f>
        <v>10868.45</v>
      </c>
      <c r="Q123" s="11" t="s">
        <v>51</v>
      </c>
    </row>
    <row r="124" customFormat="false" ht="15" hidden="false" customHeight="false" outlineLevel="0" collapsed="false">
      <c r="A124" s="11" t="n">
        <v>123</v>
      </c>
      <c r="B124" s="11" t="s">
        <v>141</v>
      </c>
      <c r="C124" s="11" t="s">
        <v>49</v>
      </c>
      <c r="D124" s="11" t="s">
        <v>50</v>
      </c>
      <c r="E124" s="12"/>
      <c r="F124" s="13" t="n">
        <v>0.7111</v>
      </c>
      <c r="G124" s="14" t="n">
        <v>1.65</v>
      </c>
      <c r="H124" s="15" t="n">
        <v>46071</v>
      </c>
      <c r="I124" s="15" t="n">
        <v>46072</v>
      </c>
      <c r="J124" s="16" t="n">
        <v>1</v>
      </c>
      <c r="K124" s="17" t="n">
        <v>0.0249</v>
      </c>
      <c r="L124" s="11" t="s">
        <v>10</v>
      </c>
      <c r="M124" s="13" t="n">
        <f aca="false">IF(Q124="sim",0,IFERROR(INDEX(Premissas!$C$8:$C$15,MATCH(L124,Premissas!$A$8:$A$15,0)),0))</f>
        <v>0.1</v>
      </c>
      <c r="N124" s="18" t="n">
        <f aca="false">Premissas!$B$4*M124</f>
        <v>10000</v>
      </c>
      <c r="O124" s="18" t="n">
        <f aca="false">N124*K124</f>
        <v>249</v>
      </c>
      <c r="P124" s="18" t="n">
        <f aca="false">P123+O124</f>
        <v>11117.45</v>
      </c>
      <c r="Q124" s="11" t="s">
        <v>51</v>
      </c>
    </row>
    <row r="125" customFormat="false" ht="15" hidden="false" customHeight="false" outlineLevel="0" collapsed="false">
      <c r="A125" s="11" t="n">
        <v>124</v>
      </c>
      <c r="B125" s="11" t="s">
        <v>141</v>
      </c>
      <c r="C125" s="11" t="s">
        <v>49</v>
      </c>
      <c r="D125" s="11" t="s">
        <v>50</v>
      </c>
      <c r="E125" s="12"/>
      <c r="F125" s="13" t="n">
        <v>0.7111</v>
      </c>
      <c r="G125" s="14" t="n">
        <v>1.65</v>
      </c>
      <c r="H125" s="15" t="n">
        <v>46062</v>
      </c>
      <c r="I125" s="15" t="n">
        <v>46072</v>
      </c>
      <c r="J125" s="16" t="n">
        <v>10</v>
      </c>
      <c r="K125" s="17" t="n">
        <v>0.0518</v>
      </c>
      <c r="L125" s="11" t="s">
        <v>10</v>
      </c>
      <c r="M125" s="13" t="n">
        <f aca="false">IF(Q125="sim",0,IFERROR(INDEX(Premissas!$C$8:$C$15,MATCH(L125,Premissas!$A$8:$A$15,0)),0))</f>
        <v>0.1</v>
      </c>
      <c r="N125" s="18" t="n">
        <f aca="false">Premissas!$B$4*M125</f>
        <v>10000</v>
      </c>
      <c r="O125" s="18" t="n">
        <f aca="false">N125*K125</f>
        <v>518</v>
      </c>
      <c r="P125" s="18" t="n">
        <f aca="false">P124+O125</f>
        <v>11635.45</v>
      </c>
      <c r="Q125" s="11" t="s">
        <v>51</v>
      </c>
    </row>
    <row r="126" customFormat="false" ht="15" hidden="false" customHeight="false" outlineLevel="0" collapsed="false">
      <c r="A126" s="11" t="n">
        <v>125</v>
      </c>
      <c r="B126" s="11" t="s">
        <v>151</v>
      </c>
      <c r="C126" s="11" t="s">
        <v>49</v>
      </c>
      <c r="D126" s="11" t="s">
        <v>50</v>
      </c>
      <c r="E126" s="12"/>
      <c r="F126" s="13" t="n">
        <v>0.6117</v>
      </c>
      <c r="G126" s="14" t="n">
        <v>1.589</v>
      </c>
      <c r="H126" s="15" t="n">
        <v>46071</v>
      </c>
      <c r="I126" s="15" t="n">
        <v>46072</v>
      </c>
      <c r="J126" s="16" t="n">
        <v>1</v>
      </c>
      <c r="K126" s="17" t="n">
        <v>0.0502</v>
      </c>
      <c r="L126" s="11" t="s">
        <v>10</v>
      </c>
      <c r="M126" s="13" t="n">
        <f aca="false">IF(Q126="sim",0,IFERROR(INDEX(Premissas!$C$8:$C$15,MATCH(L126,Premissas!$A$8:$A$15,0)),0))</f>
        <v>0.1</v>
      </c>
      <c r="N126" s="18" t="n">
        <f aca="false">Premissas!$B$4*M126</f>
        <v>10000</v>
      </c>
      <c r="O126" s="18" t="n">
        <f aca="false">N126*K126</f>
        <v>502</v>
      </c>
      <c r="P126" s="18" t="n">
        <f aca="false">P125+O126</f>
        <v>12137.45</v>
      </c>
      <c r="Q126" s="11" t="s">
        <v>51</v>
      </c>
    </row>
    <row r="127" customFormat="false" ht="15" hidden="false" customHeight="false" outlineLevel="0" collapsed="false">
      <c r="A127" s="11" t="n">
        <v>126</v>
      </c>
      <c r="B127" s="11" t="s">
        <v>151</v>
      </c>
      <c r="C127" s="11" t="s">
        <v>49</v>
      </c>
      <c r="D127" s="11" t="s">
        <v>50</v>
      </c>
      <c r="E127" s="12"/>
      <c r="F127" s="13" t="n">
        <v>0.6117</v>
      </c>
      <c r="G127" s="14" t="n">
        <v>1.589</v>
      </c>
      <c r="H127" s="15" t="n">
        <v>46071</v>
      </c>
      <c r="I127" s="15" t="n">
        <v>46072</v>
      </c>
      <c r="J127" s="16" t="n">
        <v>1</v>
      </c>
      <c r="K127" s="17" t="n">
        <v>0.0502</v>
      </c>
      <c r="L127" s="11" t="s">
        <v>10</v>
      </c>
      <c r="M127" s="13" t="n">
        <f aca="false">IF(Q127="sim",0,IFERROR(INDEX(Premissas!$C$8:$C$15,MATCH(L127,Premissas!$A$8:$A$15,0)),0))</f>
        <v>0.1</v>
      </c>
      <c r="N127" s="18" t="n">
        <f aca="false">Premissas!$B$4*M127</f>
        <v>10000</v>
      </c>
      <c r="O127" s="18" t="n">
        <f aca="false">N127*K127</f>
        <v>502</v>
      </c>
      <c r="P127" s="18" t="n">
        <f aca="false">P126+O127</f>
        <v>12639.45</v>
      </c>
      <c r="Q127" s="11" t="s">
        <v>51</v>
      </c>
    </row>
    <row r="128" customFormat="false" ht="15" hidden="false" customHeight="false" outlineLevel="0" collapsed="false">
      <c r="A128" s="11" t="n">
        <v>127</v>
      </c>
      <c r="B128" s="11" t="s">
        <v>108</v>
      </c>
      <c r="C128" s="11" t="s">
        <v>49</v>
      </c>
      <c r="D128" s="11" t="s">
        <v>50</v>
      </c>
      <c r="E128" s="12"/>
      <c r="F128" s="13" t="n">
        <v>0.7872</v>
      </c>
      <c r="G128" s="14" t="n">
        <v>1.511</v>
      </c>
      <c r="H128" s="15" t="n">
        <v>46073</v>
      </c>
      <c r="I128" s="15" t="n">
        <v>46073</v>
      </c>
      <c r="J128" s="16" t="n">
        <v>0</v>
      </c>
      <c r="K128" s="17" t="n">
        <v>0</v>
      </c>
      <c r="L128" s="11" t="s">
        <v>10</v>
      </c>
      <c r="M128" s="13" t="n">
        <f aca="false">IF(Q128="sim",0,IFERROR(INDEX(Premissas!$C$8:$C$15,MATCH(L128,Premissas!$A$8:$A$15,0)),0))</f>
        <v>0.1</v>
      </c>
      <c r="N128" s="18" t="n">
        <f aca="false">Premissas!$B$4*M128</f>
        <v>10000</v>
      </c>
      <c r="O128" s="18" t="n">
        <f aca="false">N128*K128</f>
        <v>0</v>
      </c>
      <c r="P128" s="18" t="n">
        <f aca="false">P127+O128</f>
        <v>12639.45</v>
      </c>
      <c r="Q128" s="11" t="s">
        <v>51</v>
      </c>
    </row>
    <row r="129" customFormat="false" ht="15" hidden="false" customHeight="false" outlineLevel="0" collapsed="false">
      <c r="A129" s="11" t="n">
        <v>128</v>
      </c>
      <c r="B129" s="11" t="s">
        <v>137</v>
      </c>
      <c r="C129" s="11" t="s">
        <v>49</v>
      </c>
      <c r="D129" s="11" t="s">
        <v>50</v>
      </c>
      <c r="E129" s="12"/>
      <c r="F129" s="13" t="n">
        <v>0.6444</v>
      </c>
      <c r="G129" s="14" t="n">
        <v>1.519</v>
      </c>
      <c r="H129" s="15" t="n">
        <v>46072</v>
      </c>
      <c r="I129" s="15" t="n">
        <v>46073</v>
      </c>
      <c r="J129" s="16" t="n">
        <v>1</v>
      </c>
      <c r="K129" s="17" t="n">
        <v>0.0331</v>
      </c>
      <c r="L129" s="11" t="s">
        <v>10</v>
      </c>
      <c r="M129" s="13" t="n">
        <f aca="false">IF(Q129="sim",0,IFERROR(INDEX(Premissas!$C$8:$C$15,MATCH(L129,Premissas!$A$8:$A$15,0)),0))</f>
        <v>0.1</v>
      </c>
      <c r="N129" s="18" t="n">
        <f aca="false">Premissas!$B$4*M129</f>
        <v>10000</v>
      </c>
      <c r="O129" s="18" t="n">
        <f aca="false">N129*K129</f>
        <v>331</v>
      </c>
      <c r="P129" s="18" t="n">
        <f aca="false">P128+O129</f>
        <v>12970.45</v>
      </c>
      <c r="Q129" s="11" t="s">
        <v>51</v>
      </c>
    </row>
    <row r="130" customFormat="false" ht="15" hidden="false" customHeight="false" outlineLevel="0" collapsed="false">
      <c r="A130" s="11" t="n">
        <v>129</v>
      </c>
      <c r="B130" s="11" t="s">
        <v>70</v>
      </c>
      <c r="C130" s="11" t="s">
        <v>49</v>
      </c>
      <c r="D130" s="11" t="s">
        <v>50</v>
      </c>
      <c r="E130" s="12"/>
      <c r="F130" s="13" t="n">
        <v>0.6216</v>
      </c>
      <c r="G130" s="14" t="n">
        <v>1.612</v>
      </c>
      <c r="H130" s="15" t="n">
        <v>46072</v>
      </c>
      <c r="I130" s="15" t="n">
        <v>46073</v>
      </c>
      <c r="J130" s="16" t="n">
        <v>1</v>
      </c>
      <c r="K130" s="17" t="n">
        <v>0.0198</v>
      </c>
      <c r="L130" s="11" t="s">
        <v>10</v>
      </c>
      <c r="M130" s="13" t="n">
        <f aca="false">IF(Q130="sim",0,IFERROR(INDEX(Premissas!$C$8:$C$15,MATCH(L130,Premissas!$A$8:$A$15,0)),0))</f>
        <v>0.1</v>
      </c>
      <c r="N130" s="18" t="n">
        <f aca="false">Premissas!$B$4*M130</f>
        <v>10000</v>
      </c>
      <c r="O130" s="18" t="n">
        <f aca="false">N130*K130</f>
        <v>198</v>
      </c>
      <c r="P130" s="18" t="n">
        <f aca="false">P129+O130</f>
        <v>13168.45</v>
      </c>
      <c r="Q130" s="11" t="s">
        <v>51</v>
      </c>
    </row>
    <row r="131" customFormat="false" ht="15" hidden="false" customHeight="false" outlineLevel="0" collapsed="false">
      <c r="A131" s="11" t="n">
        <v>130</v>
      </c>
      <c r="B131" s="11" t="s">
        <v>151</v>
      </c>
      <c r="C131" s="11" t="s">
        <v>49</v>
      </c>
      <c r="D131" s="11" t="s">
        <v>50</v>
      </c>
      <c r="E131" s="12"/>
      <c r="F131" s="13" t="n">
        <v>0.6117</v>
      </c>
      <c r="G131" s="14" t="n">
        <v>1.589</v>
      </c>
      <c r="H131" s="15" t="n">
        <v>46062</v>
      </c>
      <c r="I131" s="15" t="n">
        <v>46073</v>
      </c>
      <c r="J131" s="16" t="n">
        <v>11</v>
      </c>
      <c r="K131" s="17" t="n">
        <v>0.0629</v>
      </c>
      <c r="L131" s="11" t="s">
        <v>10</v>
      </c>
      <c r="M131" s="13" t="n">
        <f aca="false">IF(Q131="sim",0,IFERROR(INDEX(Premissas!$C$8:$C$15,MATCH(L131,Premissas!$A$8:$A$15,0)),0))</f>
        <v>0.1</v>
      </c>
      <c r="N131" s="18" t="n">
        <f aca="false">Premissas!$B$4*M131</f>
        <v>10000</v>
      </c>
      <c r="O131" s="18" t="n">
        <f aca="false">N131*K131</f>
        <v>629</v>
      </c>
      <c r="P131" s="18" t="n">
        <f aca="false">P130+O131</f>
        <v>13797.45</v>
      </c>
      <c r="Q131" s="11" t="s">
        <v>51</v>
      </c>
    </row>
    <row r="132" customFormat="false" ht="15" hidden="false" customHeight="false" outlineLevel="0" collapsed="false">
      <c r="A132" s="11" t="n">
        <v>131</v>
      </c>
      <c r="B132" s="11" t="s">
        <v>152</v>
      </c>
      <c r="C132" s="11" t="s">
        <v>49</v>
      </c>
      <c r="D132" s="11" t="s">
        <v>50</v>
      </c>
      <c r="E132" s="12"/>
      <c r="F132" s="13" t="n">
        <v>0.7647</v>
      </c>
      <c r="G132" s="14" t="n">
        <v>1.339</v>
      </c>
      <c r="H132" s="15" t="n">
        <v>46072</v>
      </c>
      <c r="I132" s="15" t="n">
        <v>46073</v>
      </c>
      <c r="J132" s="16" t="n">
        <v>1</v>
      </c>
      <c r="K132" s="17" t="n">
        <v>0.0547</v>
      </c>
      <c r="L132" s="11" t="s">
        <v>20</v>
      </c>
      <c r="M132" s="13" t="n">
        <f aca="false">IF(Q132="sim",0,IFERROR(INDEX(Premissas!$C$8:$C$15,MATCH(L132,Premissas!$A$8:$A$15,0)),0))</f>
        <v>0.035</v>
      </c>
      <c r="N132" s="18" t="n">
        <f aca="false">Premissas!$B$4*M132</f>
        <v>3500</v>
      </c>
      <c r="O132" s="18" t="n">
        <f aca="false">N132*K132</f>
        <v>191.45</v>
      </c>
      <c r="P132" s="18" t="n">
        <f aca="false">P131+O132</f>
        <v>13988.9</v>
      </c>
      <c r="Q132" s="11" t="s">
        <v>51</v>
      </c>
    </row>
    <row r="133" customFormat="false" ht="15" hidden="false" customHeight="false" outlineLevel="0" collapsed="false">
      <c r="A133" s="11" t="n">
        <v>132</v>
      </c>
      <c r="B133" s="11" t="s">
        <v>153</v>
      </c>
      <c r="C133" s="11" t="s">
        <v>49</v>
      </c>
      <c r="D133" s="11" t="s">
        <v>50</v>
      </c>
      <c r="E133" s="12"/>
      <c r="F133" s="13" t="n">
        <v>0.6667</v>
      </c>
      <c r="G133" s="14" t="n">
        <v>1.371</v>
      </c>
      <c r="H133" s="15" t="n">
        <v>46070</v>
      </c>
      <c r="I133" s="15" t="n">
        <v>46076</v>
      </c>
      <c r="J133" s="16" t="n">
        <v>6</v>
      </c>
      <c r="K133" s="17" t="n">
        <v>-0.1065</v>
      </c>
      <c r="L133" s="11" t="s">
        <v>20</v>
      </c>
      <c r="M133" s="13" t="n">
        <f aca="false">IF(Q133="sim",0,IFERROR(INDEX(Premissas!$C$8:$C$15,MATCH(L133,Premissas!$A$8:$A$15,0)),0))</f>
        <v>0.035</v>
      </c>
      <c r="N133" s="18" t="n">
        <f aca="false">Premissas!$B$4*M133</f>
        <v>3500</v>
      </c>
      <c r="O133" s="18" t="n">
        <f aca="false">N133*K133</f>
        <v>-372.75</v>
      </c>
      <c r="P133" s="18" t="n">
        <f aca="false">P132+O133</f>
        <v>13616.15</v>
      </c>
      <c r="Q133" s="11" t="s">
        <v>51</v>
      </c>
    </row>
    <row r="134" customFormat="false" ht="15" hidden="false" customHeight="false" outlineLevel="0" collapsed="false">
      <c r="A134" s="11" t="n">
        <v>133</v>
      </c>
      <c r="B134" s="11" t="s">
        <v>153</v>
      </c>
      <c r="C134" s="11" t="s">
        <v>49</v>
      </c>
      <c r="D134" s="11" t="s">
        <v>50</v>
      </c>
      <c r="E134" s="12"/>
      <c r="F134" s="13" t="n">
        <v>0.6667</v>
      </c>
      <c r="G134" s="14" t="n">
        <v>1.371</v>
      </c>
      <c r="H134" s="15" t="n">
        <v>46070</v>
      </c>
      <c r="I134" s="15" t="n">
        <v>46076</v>
      </c>
      <c r="J134" s="16" t="n">
        <v>6</v>
      </c>
      <c r="K134" s="17" t="n">
        <v>-0.1065</v>
      </c>
      <c r="L134" s="11" t="s">
        <v>20</v>
      </c>
      <c r="M134" s="13" t="n">
        <f aca="false">IF(Q134="sim",0,IFERROR(INDEX(Premissas!$C$8:$C$15,MATCH(L134,Premissas!$A$8:$A$15,0)),0))</f>
        <v>0.035</v>
      </c>
      <c r="N134" s="18" t="n">
        <f aca="false">Premissas!$B$4*M134</f>
        <v>3500</v>
      </c>
      <c r="O134" s="18" t="n">
        <f aca="false">N134*K134</f>
        <v>-372.75</v>
      </c>
      <c r="P134" s="18" t="n">
        <f aca="false">P133+O134</f>
        <v>13243.4</v>
      </c>
      <c r="Q134" s="11" t="s">
        <v>51</v>
      </c>
    </row>
    <row r="135" customFormat="false" ht="15" hidden="false" customHeight="false" outlineLevel="0" collapsed="false">
      <c r="A135" s="11" t="n">
        <v>134</v>
      </c>
      <c r="B135" s="11" t="s">
        <v>154</v>
      </c>
      <c r="C135" s="11" t="s">
        <v>49</v>
      </c>
      <c r="D135" s="11" t="s">
        <v>50</v>
      </c>
      <c r="E135" s="12"/>
      <c r="F135" s="13" t="n">
        <v>0.6794</v>
      </c>
      <c r="G135" s="14" t="n">
        <v>1.582</v>
      </c>
      <c r="H135" s="15" t="n">
        <v>46073</v>
      </c>
      <c r="I135" s="15" t="n">
        <v>46076</v>
      </c>
      <c r="J135" s="16" t="n">
        <v>3</v>
      </c>
      <c r="K135" s="17" t="n">
        <v>-0.0319</v>
      </c>
      <c r="L135" s="11" t="s">
        <v>10</v>
      </c>
      <c r="M135" s="13" t="n">
        <f aca="false">IF(Q135="sim",0,IFERROR(INDEX(Premissas!$C$8:$C$15,MATCH(L135,Premissas!$A$8:$A$15,0)),0))</f>
        <v>0.1</v>
      </c>
      <c r="N135" s="18" t="n">
        <f aca="false">Premissas!$B$4*M135</f>
        <v>10000</v>
      </c>
      <c r="O135" s="18" t="n">
        <f aca="false">N135*K135</f>
        <v>-319</v>
      </c>
      <c r="P135" s="18" t="n">
        <f aca="false">P134+O135</f>
        <v>12924.4</v>
      </c>
      <c r="Q135" s="11" t="s">
        <v>51</v>
      </c>
    </row>
    <row r="136" customFormat="false" ht="15" hidden="false" customHeight="false" outlineLevel="0" collapsed="false">
      <c r="A136" s="11" t="n">
        <v>135</v>
      </c>
      <c r="B136" s="11" t="s">
        <v>155</v>
      </c>
      <c r="C136" s="11" t="s">
        <v>49</v>
      </c>
      <c r="D136" s="11" t="s">
        <v>50</v>
      </c>
      <c r="E136" s="12"/>
      <c r="F136" s="13" t="n">
        <v>0.5745</v>
      </c>
      <c r="G136" s="14" t="n">
        <v>1.505</v>
      </c>
      <c r="H136" s="15" t="n">
        <v>46063</v>
      </c>
      <c r="I136" s="15" t="n">
        <v>46076</v>
      </c>
      <c r="J136" s="16" t="n">
        <v>13</v>
      </c>
      <c r="K136" s="17" t="n">
        <v>-0.0191</v>
      </c>
      <c r="L136" s="11" t="s">
        <v>20</v>
      </c>
      <c r="M136" s="13" t="n">
        <f aca="false">IF(Q136="sim",0,IFERROR(INDEX(Premissas!$C$8:$C$15,MATCH(L136,Premissas!$A$8:$A$15,0)),0))</f>
        <v>0.035</v>
      </c>
      <c r="N136" s="18" t="n">
        <f aca="false">Premissas!$B$4*M136</f>
        <v>3500</v>
      </c>
      <c r="O136" s="18" t="n">
        <f aca="false">N136*K136</f>
        <v>-66.85</v>
      </c>
      <c r="P136" s="18" t="n">
        <f aca="false">P135+O136</f>
        <v>12857.55</v>
      </c>
      <c r="Q136" s="11" t="s">
        <v>51</v>
      </c>
    </row>
    <row r="137" customFormat="false" ht="15" hidden="false" customHeight="false" outlineLevel="0" collapsed="false">
      <c r="A137" s="11" t="n">
        <v>136</v>
      </c>
      <c r="B137" s="11" t="s">
        <v>156</v>
      </c>
      <c r="C137" s="11" t="s">
        <v>49</v>
      </c>
      <c r="D137" s="11" t="s">
        <v>50</v>
      </c>
      <c r="E137" s="12"/>
      <c r="F137" s="13" t="n">
        <v>0.7606</v>
      </c>
      <c r="G137" s="14" t="n">
        <v>1.909</v>
      </c>
      <c r="H137" s="15" t="n">
        <v>46055</v>
      </c>
      <c r="I137" s="15" t="n">
        <v>46076</v>
      </c>
      <c r="J137" s="16" t="n">
        <v>21</v>
      </c>
      <c r="K137" s="17" t="n">
        <v>-0.0237</v>
      </c>
      <c r="L137" s="11" t="s">
        <v>20</v>
      </c>
      <c r="M137" s="13" t="n">
        <f aca="false">IF(Q137="sim",0,IFERROR(INDEX(Premissas!$C$8:$C$15,MATCH(L137,Premissas!$A$8:$A$15,0)),0))</f>
        <v>0.035</v>
      </c>
      <c r="N137" s="18" t="n">
        <f aca="false">Premissas!$B$4*M137</f>
        <v>3500</v>
      </c>
      <c r="O137" s="18" t="n">
        <f aca="false">N137*K137</f>
        <v>-82.95</v>
      </c>
      <c r="P137" s="18" t="n">
        <f aca="false">P136+O137</f>
        <v>12774.6</v>
      </c>
      <c r="Q137" s="11" t="s">
        <v>51</v>
      </c>
    </row>
    <row r="138" customFormat="false" ht="15" hidden="false" customHeight="false" outlineLevel="0" collapsed="false">
      <c r="A138" s="11" t="n">
        <v>137</v>
      </c>
      <c r="B138" s="11" t="s">
        <v>154</v>
      </c>
      <c r="C138" s="11" t="s">
        <v>49</v>
      </c>
      <c r="D138" s="11" t="s">
        <v>50</v>
      </c>
      <c r="E138" s="12"/>
      <c r="F138" s="13" t="n">
        <v>0.6794</v>
      </c>
      <c r="G138" s="14" t="n">
        <v>1.582</v>
      </c>
      <c r="H138" s="15" t="n">
        <v>46073</v>
      </c>
      <c r="I138" s="15" t="n">
        <v>46077</v>
      </c>
      <c r="J138" s="16" t="n">
        <v>4</v>
      </c>
      <c r="K138" s="17" t="n">
        <v>-0.017</v>
      </c>
      <c r="L138" s="11" t="s">
        <v>10</v>
      </c>
      <c r="M138" s="13" t="n">
        <f aca="false">IF(Q138="sim",0,IFERROR(INDEX(Premissas!$C$8:$C$15,MATCH(L138,Premissas!$A$8:$A$15,0)),0))</f>
        <v>0.1</v>
      </c>
      <c r="N138" s="18" t="n">
        <f aca="false">Premissas!$B$4*M138</f>
        <v>10000</v>
      </c>
      <c r="O138" s="18" t="n">
        <f aca="false">N138*K138</f>
        <v>-170</v>
      </c>
      <c r="P138" s="18" t="n">
        <f aca="false">P137+O138</f>
        <v>12604.6</v>
      </c>
      <c r="Q138" s="11" t="s">
        <v>51</v>
      </c>
    </row>
    <row r="139" customFormat="false" ht="15" hidden="false" customHeight="false" outlineLevel="0" collapsed="false">
      <c r="A139" s="11" t="n">
        <v>138</v>
      </c>
      <c r="B139" s="11" t="s">
        <v>157</v>
      </c>
      <c r="C139" s="11" t="s">
        <v>49</v>
      </c>
      <c r="D139" s="11" t="s">
        <v>50</v>
      </c>
      <c r="E139" s="12"/>
      <c r="F139" s="13" t="n">
        <v>0.56</v>
      </c>
      <c r="G139" s="14" t="n">
        <v>1.73</v>
      </c>
      <c r="H139" s="15" t="n">
        <v>46072</v>
      </c>
      <c r="I139" s="15" t="n">
        <v>46077</v>
      </c>
      <c r="J139" s="16" t="n">
        <v>5</v>
      </c>
      <c r="K139" s="17" t="n">
        <v>0.0544</v>
      </c>
      <c r="L139" s="11" t="s">
        <v>20</v>
      </c>
      <c r="M139" s="13" t="n">
        <f aca="false">IF(Q139="sim",0,IFERROR(INDEX(Premissas!$C$8:$C$15,MATCH(L139,Premissas!$A$8:$A$15,0)),0))</f>
        <v>0.035</v>
      </c>
      <c r="N139" s="18" t="n">
        <f aca="false">Premissas!$B$4*M139</f>
        <v>3500</v>
      </c>
      <c r="O139" s="18" t="n">
        <f aca="false">N139*K139</f>
        <v>190.4</v>
      </c>
      <c r="P139" s="18" t="n">
        <f aca="false">P138+O139</f>
        <v>12795</v>
      </c>
      <c r="Q139" s="11" t="s">
        <v>51</v>
      </c>
    </row>
    <row r="140" customFormat="false" ht="15" hidden="false" customHeight="false" outlineLevel="0" collapsed="false">
      <c r="A140" s="11" t="n">
        <v>139</v>
      </c>
      <c r="B140" s="11" t="s">
        <v>81</v>
      </c>
      <c r="C140" s="11" t="s">
        <v>49</v>
      </c>
      <c r="D140" s="11" t="s">
        <v>50</v>
      </c>
      <c r="E140" s="12"/>
      <c r="F140" s="13" t="n">
        <v>0.5966</v>
      </c>
      <c r="G140" s="14" t="n">
        <v>1.567</v>
      </c>
      <c r="H140" s="15" t="n">
        <v>46059</v>
      </c>
      <c r="I140" s="15" t="n">
        <v>46077</v>
      </c>
      <c r="J140" s="16" t="n">
        <v>18</v>
      </c>
      <c r="K140" s="17" t="n">
        <v>0.0501</v>
      </c>
      <c r="L140" s="11" t="s">
        <v>20</v>
      </c>
      <c r="M140" s="13" t="n">
        <f aca="false">IF(Q140="sim",0,IFERROR(INDEX(Premissas!$C$8:$C$15,MATCH(L140,Premissas!$A$8:$A$15,0)),0))</f>
        <v>0.035</v>
      </c>
      <c r="N140" s="18" t="n">
        <f aca="false">Premissas!$B$4*M140</f>
        <v>3500</v>
      </c>
      <c r="O140" s="18" t="n">
        <f aca="false">N140*K140</f>
        <v>175.35</v>
      </c>
      <c r="P140" s="18" t="n">
        <f aca="false">P139+O140</f>
        <v>12970.35</v>
      </c>
      <c r="Q140" s="11" t="s">
        <v>51</v>
      </c>
    </row>
    <row r="141" customFormat="false" ht="15" hidden="false" customHeight="false" outlineLevel="0" collapsed="false">
      <c r="A141" s="11" t="n">
        <v>140</v>
      </c>
      <c r="B141" s="11" t="s">
        <v>158</v>
      </c>
      <c r="C141" s="11" t="s">
        <v>49</v>
      </c>
      <c r="D141" s="11" t="s">
        <v>50</v>
      </c>
      <c r="E141" s="12"/>
      <c r="F141" s="13" t="n">
        <v>0.5789</v>
      </c>
      <c r="G141" s="14" t="n">
        <v>1.622</v>
      </c>
      <c r="H141" s="15" t="n">
        <v>46062</v>
      </c>
      <c r="I141" s="15" t="n">
        <v>46077</v>
      </c>
      <c r="J141" s="16" t="n">
        <v>15</v>
      </c>
      <c r="K141" s="17" t="n">
        <v>0.052</v>
      </c>
      <c r="L141" s="11" t="s">
        <v>20</v>
      </c>
      <c r="M141" s="13" t="n">
        <f aca="false">IF(Q141="sim",0,IFERROR(INDEX(Premissas!$C$8:$C$15,MATCH(L141,Premissas!$A$8:$A$15,0)),0))</f>
        <v>0.035</v>
      </c>
      <c r="N141" s="18" t="n">
        <f aca="false">Premissas!$B$4*M141</f>
        <v>3500</v>
      </c>
      <c r="O141" s="18" t="n">
        <f aca="false">N141*K141</f>
        <v>182</v>
      </c>
      <c r="P141" s="18" t="n">
        <f aca="false">P140+O141</f>
        <v>13152.35</v>
      </c>
      <c r="Q141" s="11" t="s">
        <v>51</v>
      </c>
    </row>
    <row r="142" customFormat="false" ht="15" hidden="false" customHeight="false" outlineLevel="0" collapsed="false">
      <c r="A142" s="11" t="n">
        <v>141</v>
      </c>
      <c r="B142" s="11" t="s">
        <v>158</v>
      </c>
      <c r="C142" s="11" t="s">
        <v>49</v>
      </c>
      <c r="D142" s="11" t="s">
        <v>50</v>
      </c>
      <c r="E142" s="12"/>
      <c r="F142" s="13" t="n">
        <v>0.5789</v>
      </c>
      <c r="G142" s="14" t="n">
        <v>1.622</v>
      </c>
      <c r="H142" s="15" t="n">
        <v>46062</v>
      </c>
      <c r="I142" s="15" t="n">
        <v>46077</v>
      </c>
      <c r="J142" s="16" t="n">
        <v>15</v>
      </c>
      <c r="K142" s="17" t="n">
        <v>0.052</v>
      </c>
      <c r="L142" s="11" t="s">
        <v>20</v>
      </c>
      <c r="M142" s="13" t="n">
        <f aca="false">IF(Q142="sim",0,IFERROR(INDEX(Premissas!$C$8:$C$15,MATCH(L142,Premissas!$A$8:$A$15,0)),0))</f>
        <v>0.035</v>
      </c>
      <c r="N142" s="18" t="n">
        <f aca="false">Premissas!$B$4*M142</f>
        <v>3500</v>
      </c>
      <c r="O142" s="18" t="n">
        <f aca="false">N142*K142</f>
        <v>182</v>
      </c>
      <c r="P142" s="18" t="n">
        <f aca="false">P141+O142</f>
        <v>13334.35</v>
      </c>
      <c r="Q142" s="11" t="s">
        <v>51</v>
      </c>
    </row>
    <row r="143" customFormat="false" ht="15" hidden="false" customHeight="false" outlineLevel="0" collapsed="false">
      <c r="A143" s="11" t="n">
        <v>142</v>
      </c>
      <c r="B143" s="11" t="s">
        <v>159</v>
      </c>
      <c r="C143" s="11" t="s">
        <v>49</v>
      </c>
      <c r="D143" s="11" t="s">
        <v>160</v>
      </c>
      <c r="E143" s="12" t="n">
        <v>66.3</v>
      </c>
      <c r="F143" s="13" t="n">
        <v>1</v>
      </c>
      <c r="G143" s="14" t="n">
        <v>1.439</v>
      </c>
      <c r="H143" s="15" t="n">
        <v>46078</v>
      </c>
      <c r="I143" s="15" t="n">
        <v>46078</v>
      </c>
      <c r="J143" s="16" t="n">
        <v>0</v>
      </c>
      <c r="K143" s="17" t="n">
        <v>0</v>
      </c>
      <c r="L143" s="11" t="s">
        <v>10</v>
      </c>
      <c r="M143" s="13" t="n">
        <f aca="false">IF(Q143="sim",0,IFERROR(INDEX(Premissas!$C$8:$C$15,MATCH(L143,Premissas!$A$8:$A$15,0)),0))</f>
        <v>0.1</v>
      </c>
      <c r="N143" s="18" t="n">
        <f aca="false">Premissas!$B$4*M143</f>
        <v>10000</v>
      </c>
      <c r="O143" s="18" t="n">
        <f aca="false">N143*K143</f>
        <v>0</v>
      </c>
      <c r="P143" s="18" t="n">
        <f aca="false">P142+O143</f>
        <v>13334.35</v>
      </c>
      <c r="Q143" s="11" t="s">
        <v>51</v>
      </c>
    </row>
    <row r="144" customFormat="false" ht="15" hidden="false" customHeight="false" outlineLevel="0" collapsed="false">
      <c r="A144" s="11" t="n">
        <v>143</v>
      </c>
      <c r="B144" s="11" t="s">
        <v>161</v>
      </c>
      <c r="C144" s="11" t="s">
        <v>49</v>
      </c>
      <c r="D144" s="11" t="s">
        <v>160</v>
      </c>
      <c r="E144" s="12" t="n">
        <v>66.3</v>
      </c>
      <c r="F144" s="13" t="n">
        <v>0.7</v>
      </c>
      <c r="G144" s="14" t="n">
        <v>1.639</v>
      </c>
      <c r="H144" s="15" t="n">
        <v>46079</v>
      </c>
      <c r="I144" s="15" t="n">
        <v>46080</v>
      </c>
      <c r="J144" s="16" t="n">
        <v>1</v>
      </c>
      <c r="K144" s="17" t="n">
        <v>-0.0473</v>
      </c>
      <c r="L144" s="11" t="s">
        <v>8</v>
      </c>
      <c r="M144" s="13" t="n">
        <f aca="false">IF(Q144="sim",0,IFERROR(INDEX(Premissas!$C$8:$C$15,MATCH(L144,Premissas!$A$8:$A$15,0)),0))</f>
        <v>0.14</v>
      </c>
      <c r="N144" s="18" t="n">
        <f aca="false">Premissas!$B$4*M144</f>
        <v>14000</v>
      </c>
      <c r="O144" s="18" t="n">
        <f aca="false">N144*K144</f>
        <v>-662.2</v>
      </c>
      <c r="P144" s="18" t="n">
        <f aca="false">P143+O144</f>
        <v>12672.15</v>
      </c>
      <c r="Q144" s="11" t="s">
        <v>51</v>
      </c>
    </row>
    <row r="145" customFormat="false" ht="15" hidden="false" customHeight="false" outlineLevel="0" collapsed="false">
      <c r="A145" s="11" t="n">
        <v>144</v>
      </c>
      <c r="B145" s="11" t="s">
        <v>162</v>
      </c>
      <c r="C145" s="11" t="s">
        <v>49</v>
      </c>
      <c r="D145" s="11" t="s">
        <v>50</v>
      </c>
      <c r="E145" s="12"/>
      <c r="F145" s="13" t="n">
        <v>0.7083</v>
      </c>
      <c r="G145" s="14" t="n">
        <v>1.542</v>
      </c>
      <c r="H145" s="15" t="n">
        <v>46070</v>
      </c>
      <c r="I145" s="15" t="n">
        <v>46080</v>
      </c>
      <c r="J145" s="16" t="n">
        <v>10</v>
      </c>
      <c r="K145" s="17" t="n">
        <v>-0.1147</v>
      </c>
      <c r="L145" s="11" t="s">
        <v>10</v>
      </c>
      <c r="M145" s="13" t="n">
        <f aca="false">IF(Q145="sim",0,IFERROR(INDEX(Premissas!$C$8:$C$15,MATCH(L145,Premissas!$A$8:$A$15,0)),0))</f>
        <v>0.1</v>
      </c>
      <c r="N145" s="18" t="n">
        <f aca="false">Premissas!$B$4*M145</f>
        <v>10000</v>
      </c>
      <c r="O145" s="18" t="n">
        <f aca="false">N145*K145</f>
        <v>-1147</v>
      </c>
      <c r="P145" s="18" t="n">
        <f aca="false">P144+O145</f>
        <v>11525.15</v>
      </c>
      <c r="Q145" s="11" t="s">
        <v>51</v>
      </c>
    </row>
    <row r="146" customFormat="false" ht="15" hidden="false" customHeight="false" outlineLevel="0" collapsed="false">
      <c r="A146" s="11" t="n">
        <v>145</v>
      </c>
      <c r="B146" s="11" t="s">
        <v>163</v>
      </c>
      <c r="C146" s="11" t="s">
        <v>49</v>
      </c>
      <c r="D146" s="11" t="s">
        <v>160</v>
      </c>
      <c r="E146" s="12" t="n">
        <v>48.9</v>
      </c>
      <c r="F146" s="13" t="n">
        <v>0.7</v>
      </c>
      <c r="G146" s="14" t="n">
        <v>1.349</v>
      </c>
      <c r="H146" s="15" t="n">
        <v>46079</v>
      </c>
      <c r="I146" s="15" t="n">
        <v>46080</v>
      </c>
      <c r="J146" s="16" t="n">
        <v>1</v>
      </c>
      <c r="K146" s="17" t="n">
        <v>-0.0515</v>
      </c>
      <c r="L146" s="11" t="s">
        <v>20</v>
      </c>
      <c r="M146" s="13" t="n">
        <f aca="false">IF(Q146="sim",0,IFERROR(INDEX(Premissas!$C$8:$C$15,MATCH(L146,Premissas!$A$8:$A$15,0)),0))</f>
        <v>0.035</v>
      </c>
      <c r="N146" s="18" t="n">
        <f aca="false">Premissas!$B$4*M146</f>
        <v>3500</v>
      </c>
      <c r="O146" s="18" t="n">
        <f aca="false">N146*K146</f>
        <v>-180.25</v>
      </c>
      <c r="P146" s="18" t="n">
        <f aca="false">P145+O146</f>
        <v>11344.9</v>
      </c>
      <c r="Q146" s="11" t="s">
        <v>51</v>
      </c>
    </row>
    <row r="147" customFormat="false" ht="15" hidden="false" customHeight="false" outlineLevel="0" collapsed="false">
      <c r="A147" s="11" t="n">
        <v>146</v>
      </c>
      <c r="B147" s="11" t="s">
        <v>164</v>
      </c>
      <c r="C147" s="11" t="s">
        <v>49</v>
      </c>
      <c r="D147" s="11" t="s">
        <v>50</v>
      </c>
      <c r="E147" s="12"/>
      <c r="F147" s="13" t="n">
        <v>0.5893</v>
      </c>
      <c r="G147" s="14" t="n">
        <v>1.63</v>
      </c>
      <c r="H147" s="15" t="n">
        <v>46071</v>
      </c>
      <c r="I147" s="15" t="n">
        <v>46083</v>
      </c>
      <c r="J147" s="16" t="n">
        <v>12</v>
      </c>
      <c r="K147" s="17" t="n">
        <v>0.1449</v>
      </c>
      <c r="L147" s="11" t="s">
        <v>20</v>
      </c>
      <c r="M147" s="13" t="n">
        <f aca="false">IF(Q147="sim",0,IFERROR(INDEX(Premissas!$C$8:$C$15,MATCH(L147,Premissas!$A$8:$A$15,0)),0))</f>
        <v>0.035</v>
      </c>
      <c r="N147" s="18" t="n">
        <f aca="false">Premissas!$B$4*M147</f>
        <v>3500</v>
      </c>
      <c r="O147" s="18" t="n">
        <f aca="false">N147*K147</f>
        <v>507.15</v>
      </c>
      <c r="P147" s="18" t="n">
        <f aca="false">P146+O147</f>
        <v>11852.05</v>
      </c>
      <c r="Q147" s="11" t="s">
        <v>51</v>
      </c>
    </row>
    <row r="148" customFormat="false" ht="15" hidden="false" customHeight="false" outlineLevel="0" collapsed="false">
      <c r="A148" s="11" t="n">
        <v>147</v>
      </c>
      <c r="B148" s="11" t="s">
        <v>165</v>
      </c>
      <c r="C148" s="11" t="s">
        <v>49</v>
      </c>
      <c r="D148" s="11" t="s">
        <v>50</v>
      </c>
      <c r="E148" s="12"/>
      <c r="F148" s="13" t="n">
        <v>0.5643</v>
      </c>
      <c r="G148" s="14" t="n">
        <v>1.611</v>
      </c>
      <c r="H148" s="15" t="n">
        <v>46072</v>
      </c>
      <c r="I148" s="15" t="n">
        <v>46083</v>
      </c>
      <c r="J148" s="16" t="n">
        <v>11</v>
      </c>
      <c r="K148" s="17" t="n">
        <v>0.0874</v>
      </c>
      <c r="L148" s="11" t="s">
        <v>20</v>
      </c>
      <c r="M148" s="13" t="n">
        <f aca="false">IF(Q148="sim",0,IFERROR(INDEX(Premissas!$C$8:$C$15,MATCH(L148,Premissas!$A$8:$A$15,0)),0))</f>
        <v>0.035</v>
      </c>
      <c r="N148" s="18" t="n">
        <f aca="false">Premissas!$B$4*M148</f>
        <v>3500</v>
      </c>
      <c r="O148" s="18" t="n">
        <f aca="false">N148*K148</f>
        <v>305.9</v>
      </c>
      <c r="P148" s="18" t="n">
        <f aca="false">P147+O148</f>
        <v>12157.95</v>
      </c>
      <c r="Q148" s="11" t="s">
        <v>51</v>
      </c>
    </row>
    <row r="149" customFormat="false" ht="15" hidden="false" customHeight="false" outlineLevel="0" collapsed="false">
      <c r="A149" s="11" t="n">
        <v>148</v>
      </c>
      <c r="B149" s="11" t="s">
        <v>165</v>
      </c>
      <c r="C149" s="11" t="s">
        <v>49</v>
      </c>
      <c r="D149" s="11" t="s">
        <v>50</v>
      </c>
      <c r="E149" s="12"/>
      <c r="F149" s="13" t="n">
        <v>0.5643</v>
      </c>
      <c r="G149" s="14" t="n">
        <v>1.611</v>
      </c>
      <c r="H149" s="15" t="n">
        <v>46064</v>
      </c>
      <c r="I149" s="15" t="n">
        <v>46083</v>
      </c>
      <c r="J149" s="16" t="n">
        <v>19</v>
      </c>
      <c r="K149" s="17" t="n">
        <v>0.0882</v>
      </c>
      <c r="L149" s="11" t="s">
        <v>20</v>
      </c>
      <c r="M149" s="13" t="n">
        <f aca="false">IF(Q149="sim",0,IFERROR(INDEX(Premissas!$C$8:$C$15,MATCH(L149,Premissas!$A$8:$A$15,0)),0))</f>
        <v>0.035</v>
      </c>
      <c r="N149" s="18" t="n">
        <f aca="false">Premissas!$B$4*M149</f>
        <v>3500</v>
      </c>
      <c r="O149" s="18" t="n">
        <f aca="false">N149*K149</f>
        <v>308.7</v>
      </c>
      <c r="P149" s="18" t="n">
        <f aca="false">P148+O149</f>
        <v>12466.65</v>
      </c>
      <c r="Q149" s="11" t="s">
        <v>51</v>
      </c>
    </row>
    <row r="150" customFormat="false" ht="15" hidden="false" customHeight="false" outlineLevel="0" collapsed="false">
      <c r="A150" s="11" t="n">
        <v>149</v>
      </c>
      <c r="B150" s="11" t="s">
        <v>154</v>
      </c>
      <c r="C150" s="11" t="s">
        <v>49</v>
      </c>
      <c r="D150" s="11" t="s">
        <v>160</v>
      </c>
      <c r="E150" s="12" t="n">
        <v>75.9</v>
      </c>
      <c r="F150" s="13" t="n">
        <v>0.9</v>
      </c>
      <c r="G150" s="14" t="n">
        <v>1.665</v>
      </c>
      <c r="H150" s="15" t="n">
        <v>46079</v>
      </c>
      <c r="I150" s="15" t="n">
        <v>46084</v>
      </c>
      <c r="J150" s="16" t="n">
        <v>5</v>
      </c>
      <c r="K150" s="17" t="n">
        <v>-0.0895</v>
      </c>
      <c r="L150" s="11" t="s">
        <v>8</v>
      </c>
      <c r="M150" s="13" t="n">
        <f aca="false">IF(Q150="sim",0,IFERROR(INDEX(Premissas!$C$8:$C$15,MATCH(L150,Premissas!$A$8:$A$15,0)),0))</f>
        <v>0.14</v>
      </c>
      <c r="N150" s="18" t="n">
        <f aca="false">Premissas!$B$4*M150</f>
        <v>14000</v>
      </c>
      <c r="O150" s="18" t="n">
        <f aca="false">N150*K150</f>
        <v>-1253</v>
      </c>
      <c r="P150" s="18" t="n">
        <f aca="false">P149+O150</f>
        <v>11213.65</v>
      </c>
      <c r="Q150" s="11" t="s">
        <v>51</v>
      </c>
    </row>
    <row r="151" customFormat="false" ht="15" hidden="false" customHeight="false" outlineLevel="0" collapsed="false">
      <c r="A151" s="11" t="n">
        <v>150</v>
      </c>
      <c r="B151" s="11" t="s">
        <v>166</v>
      </c>
      <c r="C151" s="11" t="s">
        <v>49</v>
      </c>
      <c r="D151" s="11" t="s">
        <v>160</v>
      </c>
      <c r="E151" s="12" t="n">
        <v>75.4</v>
      </c>
      <c r="F151" s="13" t="n">
        <v>0.7</v>
      </c>
      <c r="G151" s="14" t="n">
        <v>1.79</v>
      </c>
      <c r="H151" s="15" t="n">
        <v>46080</v>
      </c>
      <c r="I151" s="15" t="n">
        <v>46084</v>
      </c>
      <c r="J151" s="16" t="n">
        <v>4</v>
      </c>
      <c r="K151" s="17" t="n">
        <v>-0.0675</v>
      </c>
      <c r="L151" s="11" t="s">
        <v>8</v>
      </c>
      <c r="M151" s="13" t="n">
        <f aca="false">IF(Q151="sim",0,IFERROR(INDEX(Premissas!$C$8:$C$15,MATCH(L151,Premissas!$A$8:$A$15,0)),0))</f>
        <v>0.14</v>
      </c>
      <c r="N151" s="18" t="n">
        <f aca="false">Premissas!$B$4*M151</f>
        <v>14000</v>
      </c>
      <c r="O151" s="18" t="n">
        <f aca="false">N151*K151</f>
        <v>-945</v>
      </c>
      <c r="P151" s="18" t="n">
        <f aca="false">P150+O151</f>
        <v>10268.65</v>
      </c>
      <c r="Q151" s="11" t="s">
        <v>51</v>
      </c>
    </row>
    <row r="152" customFormat="false" ht="15" hidden="false" customHeight="false" outlineLevel="0" collapsed="false">
      <c r="A152" s="11" t="n">
        <v>151</v>
      </c>
      <c r="B152" s="11" t="s">
        <v>99</v>
      </c>
      <c r="C152" s="11" t="s">
        <v>49</v>
      </c>
      <c r="D152" s="11" t="s">
        <v>160</v>
      </c>
      <c r="E152" s="12" t="n">
        <v>67.6</v>
      </c>
      <c r="F152" s="13" t="n">
        <v>0.7</v>
      </c>
      <c r="G152" s="14" t="n">
        <v>1.66</v>
      </c>
      <c r="H152" s="15" t="n">
        <v>46083</v>
      </c>
      <c r="I152" s="15" t="n">
        <v>46084</v>
      </c>
      <c r="J152" s="16" t="n">
        <v>1</v>
      </c>
      <c r="K152" s="17" t="n">
        <v>-0.0106</v>
      </c>
      <c r="L152" s="11" t="s">
        <v>8</v>
      </c>
      <c r="M152" s="13" t="n">
        <f aca="false">IF(Q152="sim",0,IFERROR(INDEX(Premissas!$C$8:$C$15,MATCH(L152,Premissas!$A$8:$A$15,0)),0))</f>
        <v>0.14</v>
      </c>
      <c r="N152" s="18" t="n">
        <f aca="false">Premissas!$B$4*M152</f>
        <v>14000</v>
      </c>
      <c r="O152" s="18" t="n">
        <f aca="false">N152*K152</f>
        <v>-148.4</v>
      </c>
      <c r="P152" s="18" t="n">
        <f aca="false">P151+O152</f>
        <v>10120.25</v>
      </c>
      <c r="Q152" s="11" t="s">
        <v>51</v>
      </c>
    </row>
    <row r="153" customFormat="false" ht="15" hidden="false" customHeight="false" outlineLevel="0" collapsed="false">
      <c r="A153" s="11" t="n">
        <v>152</v>
      </c>
      <c r="B153" s="11" t="s">
        <v>167</v>
      </c>
      <c r="C153" s="11" t="s">
        <v>49</v>
      </c>
      <c r="D153" s="11" t="s">
        <v>160</v>
      </c>
      <c r="E153" s="12" t="n">
        <v>57.9</v>
      </c>
      <c r="F153" s="13" t="n">
        <v>0.8</v>
      </c>
      <c r="G153" s="14" t="n">
        <v>1.431</v>
      </c>
      <c r="H153" s="15" t="n">
        <v>46080</v>
      </c>
      <c r="I153" s="15" t="n">
        <v>46084</v>
      </c>
      <c r="J153" s="16" t="n">
        <v>4</v>
      </c>
      <c r="K153" s="17" t="n">
        <v>0.0561</v>
      </c>
      <c r="L153" s="11" t="s">
        <v>10</v>
      </c>
      <c r="M153" s="13" t="n">
        <f aca="false">IF(Q153="sim",0,IFERROR(INDEX(Premissas!$C$8:$C$15,MATCH(L153,Premissas!$A$8:$A$15,0)),0))</f>
        <v>0.1</v>
      </c>
      <c r="N153" s="18" t="n">
        <f aca="false">Premissas!$B$4*M153</f>
        <v>10000</v>
      </c>
      <c r="O153" s="18" t="n">
        <f aca="false">N153*K153</f>
        <v>561</v>
      </c>
      <c r="P153" s="18" t="n">
        <f aca="false">P152+O153</f>
        <v>10681.25</v>
      </c>
      <c r="Q153" s="11" t="s">
        <v>51</v>
      </c>
    </row>
    <row r="154" customFormat="false" ht="15" hidden="false" customHeight="false" outlineLevel="0" collapsed="false">
      <c r="A154" s="11" t="n">
        <v>153</v>
      </c>
      <c r="B154" s="11" t="s">
        <v>168</v>
      </c>
      <c r="C154" s="11" t="s">
        <v>49</v>
      </c>
      <c r="D154" s="11" t="s">
        <v>50</v>
      </c>
      <c r="E154" s="12"/>
      <c r="F154" s="13" t="n">
        <v>0.5577</v>
      </c>
      <c r="G154" s="14" t="n">
        <v>1.69</v>
      </c>
      <c r="H154" s="15" t="n">
        <v>46071</v>
      </c>
      <c r="I154" s="15" t="n">
        <v>46085</v>
      </c>
      <c r="J154" s="16" t="n">
        <v>14</v>
      </c>
      <c r="K154" s="17" t="n">
        <v>-0.0317</v>
      </c>
      <c r="L154" s="11" t="s">
        <v>20</v>
      </c>
      <c r="M154" s="13" t="n">
        <f aca="false">IF(Q154="sim",0,IFERROR(INDEX(Premissas!$C$8:$C$15,MATCH(L154,Premissas!$A$8:$A$15,0)),0))</f>
        <v>0.035</v>
      </c>
      <c r="N154" s="18" t="n">
        <f aca="false">Premissas!$B$4*M154</f>
        <v>3500</v>
      </c>
      <c r="O154" s="18" t="n">
        <f aca="false">N154*K154</f>
        <v>-110.95</v>
      </c>
      <c r="P154" s="18" t="n">
        <f aca="false">P153+O154</f>
        <v>10570.3</v>
      </c>
      <c r="Q154" s="11" t="s">
        <v>51</v>
      </c>
    </row>
    <row r="155" customFormat="false" ht="15" hidden="false" customHeight="false" outlineLevel="0" collapsed="false">
      <c r="A155" s="11" t="n">
        <v>154</v>
      </c>
      <c r="B155" s="11" t="s">
        <v>169</v>
      </c>
      <c r="C155" s="11" t="s">
        <v>49</v>
      </c>
      <c r="D155" s="11" t="s">
        <v>170</v>
      </c>
      <c r="E155" s="12" t="n">
        <v>67.1</v>
      </c>
      <c r="F155" s="13" t="n">
        <v>0.6</v>
      </c>
      <c r="G155" s="14" t="n">
        <v>1.719</v>
      </c>
      <c r="H155" s="15" t="n">
        <v>46079</v>
      </c>
      <c r="I155" s="15" t="n">
        <v>46085</v>
      </c>
      <c r="J155" s="16" t="n">
        <v>6</v>
      </c>
      <c r="K155" s="17" t="n">
        <v>-0.0488</v>
      </c>
      <c r="L155" s="11" t="s">
        <v>20</v>
      </c>
      <c r="M155" s="13" t="n">
        <f aca="false">IF(Q155="sim",0,IFERROR(INDEX(Premissas!$C$8:$C$15,MATCH(L155,Premissas!$A$8:$A$15,0)),0))</f>
        <v>0.035</v>
      </c>
      <c r="N155" s="18" t="n">
        <f aca="false">Premissas!$B$4*M155</f>
        <v>3500</v>
      </c>
      <c r="O155" s="18" t="n">
        <f aca="false">N155*K155</f>
        <v>-170.8</v>
      </c>
      <c r="P155" s="18" t="n">
        <f aca="false">P154+O155</f>
        <v>10399.5</v>
      </c>
      <c r="Q155" s="11" t="s">
        <v>51</v>
      </c>
    </row>
    <row r="156" customFormat="false" ht="15" hidden="false" customHeight="false" outlineLevel="0" collapsed="false">
      <c r="A156" s="11" t="n">
        <v>155</v>
      </c>
      <c r="B156" s="11" t="s">
        <v>171</v>
      </c>
      <c r="C156" s="11" t="s">
        <v>49</v>
      </c>
      <c r="D156" s="11" t="s">
        <v>160</v>
      </c>
      <c r="E156" s="12" t="n">
        <v>53.6</v>
      </c>
      <c r="F156" s="13" t="n">
        <v>0.7</v>
      </c>
      <c r="G156" s="14" t="n">
        <v>1.427</v>
      </c>
      <c r="H156" s="15" t="n">
        <v>46079</v>
      </c>
      <c r="I156" s="15" t="n">
        <v>46086</v>
      </c>
      <c r="J156" s="16" t="n">
        <v>7</v>
      </c>
      <c r="K156" s="17" t="n">
        <v>-0.0382</v>
      </c>
      <c r="L156" s="11" t="s">
        <v>10</v>
      </c>
      <c r="M156" s="13" t="n">
        <f aca="false">IF(Q156="sim",0,IFERROR(INDEX(Premissas!$C$8:$C$15,MATCH(L156,Premissas!$A$8:$A$15,0)),0))</f>
        <v>0.1</v>
      </c>
      <c r="N156" s="18" t="n">
        <f aca="false">Premissas!$B$4*M156</f>
        <v>10000</v>
      </c>
      <c r="O156" s="18" t="n">
        <f aca="false">N156*K156</f>
        <v>-382</v>
      </c>
      <c r="P156" s="18" t="n">
        <f aca="false">P155+O156</f>
        <v>10017.5</v>
      </c>
      <c r="Q156" s="11" t="s">
        <v>51</v>
      </c>
    </row>
    <row r="157" customFormat="false" ht="15" hidden="false" customHeight="false" outlineLevel="0" collapsed="false">
      <c r="A157" s="11" t="n">
        <v>156</v>
      </c>
      <c r="B157" s="11" t="s">
        <v>172</v>
      </c>
      <c r="C157" s="11" t="s">
        <v>49</v>
      </c>
      <c r="D157" s="11" t="s">
        <v>160</v>
      </c>
      <c r="E157" s="12" t="n">
        <v>55.5</v>
      </c>
      <c r="F157" s="13" t="n">
        <v>0.7</v>
      </c>
      <c r="G157" s="14" t="n">
        <v>1.459</v>
      </c>
      <c r="H157" s="15" t="n">
        <v>46080</v>
      </c>
      <c r="I157" s="15" t="n">
        <v>46087</v>
      </c>
      <c r="J157" s="16" t="n">
        <v>7</v>
      </c>
      <c r="K157" s="17" t="n">
        <v>-0.053</v>
      </c>
      <c r="L157" s="11" t="s">
        <v>10</v>
      </c>
      <c r="M157" s="13" t="n">
        <f aca="false">IF(Q157="sim",0,IFERROR(INDEX(Premissas!$C$8:$C$15,MATCH(L157,Premissas!$A$8:$A$15,0)),0))</f>
        <v>0.1</v>
      </c>
      <c r="N157" s="18" t="n">
        <f aca="false">Premissas!$B$4*M157</f>
        <v>10000</v>
      </c>
      <c r="O157" s="18" t="n">
        <f aca="false">N157*K157</f>
        <v>-530</v>
      </c>
      <c r="P157" s="18" t="n">
        <f aca="false">P156+O157</f>
        <v>9487.5</v>
      </c>
      <c r="Q157" s="11" t="s">
        <v>51</v>
      </c>
    </row>
    <row r="158" customFormat="false" ht="15" hidden="false" customHeight="false" outlineLevel="0" collapsed="false">
      <c r="A158" s="11" t="n">
        <v>157</v>
      </c>
      <c r="B158" s="11" t="s">
        <v>173</v>
      </c>
      <c r="C158" s="11" t="s">
        <v>49</v>
      </c>
      <c r="D158" s="11" t="s">
        <v>160</v>
      </c>
      <c r="E158" s="12" t="n">
        <v>57.9</v>
      </c>
      <c r="F158" s="13" t="n">
        <v>0.7</v>
      </c>
      <c r="G158" s="14" t="n">
        <v>1.498</v>
      </c>
      <c r="H158" s="15" t="n">
        <v>46078</v>
      </c>
      <c r="I158" s="15" t="n">
        <v>46087</v>
      </c>
      <c r="J158" s="16" t="n">
        <v>9</v>
      </c>
      <c r="K158" s="17" t="n">
        <v>-0.0472</v>
      </c>
      <c r="L158" s="11" t="s">
        <v>10</v>
      </c>
      <c r="M158" s="13" t="n">
        <f aca="false">IF(Q158="sim",0,IFERROR(INDEX(Premissas!$C$8:$C$15,MATCH(L158,Premissas!$A$8:$A$15,0)),0))</f>
        <v>0.1</v>
      </c>
      <c r="N158" s="18" t="n">
        <f aca="false">Premissas!$B$4*M158</f>
        <v>10000</v>
      </c>
      <c r="O158" s="18" t="n">
        <f aca="false">N158*K158</f>
        <v>-472</v>
      </c>
      <c r="P158" s="18" t="n">
        <f aca="false">P157+O158</f>
        <v>9015.5</v>
      </c>
      <c r="Q158" s="11" t="s">
        <v>51</v>
      </c>
    </row>
    <row r="159" customFormat="false" ht="15" hidden="false" customHeight="false" outlineLevel="0" collapsed="false">
      <c r="A159" s="11" t="n">
        <v>158</v>
      </c>
      <c r="B159" s="11" t="s">
        <v>81</v>
      </c>
      <c r="C159" s="11" t="s">
        <v>49</v>
      </c>
      <c r="D159" s="11" t="s">
        <v>160</v>
      </c>
      <c r="E159" s="12" t="n">
        <v>67.4</v>
      </c>
      <c r="F159" s="13" t="n">
        <v>0.8</v>
      </c>
      <c r="G159" s="14" t="n">
        <v>1.589</v>
      </c>
      <c r="H159" s="15" t="n">
        <v>46085</v>
      </c>
      <c r="I159" s="15" t="n">
        <v>46087</v>
      </c>
      <c r="J159" s="16" t="n">
        <v>2</v>
      </c>
      <c r="K159" s="17" t="n">
        <v>-0.1364</v>
      </c>
      <c r="L159" s="11" t="s">
        <v>8</v>
      </c>
      <c r="M159" s="13" t="n">
        <f aca="false">IF(Q159="sim",0,IFERROR(INDEX(Premissas!$C$8:$C$15,MATCH(L159,Premissas!$A$8:$A$15,0)),0))</f>
        <v>0.14</v>
      </c>
      <c r="N159" s="18" t="n">
        <f aca="false">Premissas!$B$4*M159</f>
        <v>14000</v>
      </c>
      <c r="O159" s="18" t="n">
        <f aca="false">N159*K159</f>
        <v>-1909.6</v>
      </c>
      <c r="P159" s="18" t="n">
        <f aca="false">P158+O159</f>
        <v>7105.9</v>
      </c>
      <c r="Q159" s="11" t="s">
        <v>51</v>
      </c>
    </row>
    <row r="160" customFormat="false" ht="15" hidden="false" customHeight="false" outlineLevel="0" collapsed="false">
      <c r="A160" s="11" t="n">
        <v>159</v>
      </c>
      <c r="B160" s="11" t="s">
        <v>174</v>
      </c>
      <c r="C160" s="11" t="s">
        <v>49</v>
      </c>
      <c r="D160" s="11" t="s">
        <v>160</v>
      </c>
      <c r="E160" s="12" t="n">
        <v>47</v>
      </c>
      <c r="F160" s="13" t="n">
        <v>0.7</v>
      </c>
      <c r="G160" s="14" t="n">
        <v>1.316</v>
      </c>
      <c r="H160" s="15" t="n">
        <v>46085</v>
      </c>
      <c r="I160" s="15" t="n">
        <v>46087</v>
      </c>
      <c r="J160" s="16" t="n">
        <v>2</v>
      </c>
      <c r="K160" s="17" t="n">
        <v>-0.0358</v>
      </c>
      <c r="L160" s="11" t="s">
        <v>20</v>
      </c>
      <c r="M160" s="13" t="n">
        <f aca="false">IF(Q160="sim",0,IFERROR(INDEX(Premissas!$C$8:$C$15,MATCH(L160,Premissas!$A$8:$A$15,0)),0))</f>
        <v>0.035</v>
      </c>
      <c r="N160" s="18" t="n">
        <f aca="false">Premissas!$B$4*M160</f>
        <v>3500</v>
      </c>
      <c r="O160" s="18" t="n">
        <f aca="false">N160*K160</f>
        <v>-125.3</v>
      </c>
      <c r="P160" s="18" t="n">
        <f aca="false">P159+O160</f>
        <v>6980.6</v>
      </c>
      <c r="Q160" s="11" t="s">
        <v>51</v>
      </c>
    </row>
    <row r="161" customFormat="false" ht="15" hidden="false" customHeight="false" outlineLevel="0" collapsed="false">
      <c r="A161" s="11" t="n">
        <v>160</v>
      </c>
      <c r="B161" s="11" t="s">
        <v>117</v>
      </c>
      <c r="C161" s="11" t="s">
        <v>49</v>
      </c>
      <c r="D161" s="11" t="s">
        <v>170</v>
      </c>
      <c r="E161" s="12" t="n">
        <v>51.8</v>
      </c>
      <c r="F161" s="13" t="n">
        <v>0.6</v>
      </c>
      <c r="G161" s="14" t="n">
        <v>1.464</v>
      </c>
      <c r="H161" s="15" t="n">
        <v>46077</v>
      </c>
      <c r="I161" s="15" t="n">
        <v>46087</v>
      </c>
      <c r="J161" s="16" t="n">
        <v>10</v>
      </c>
      <c r="K161" s="17" t="n">
        <v>0.0569</v>
      </c>
      <c r="L161" s="11" t="s">
        <v>10</v>
      </c>
      <c r="M161" s="13" t="n">
        <f aca="false">IF(Q161="sim",0,IFERROR(INDEX(Premissas!$C$8:$C$15,MATCH(L161,Premissas!$A$8:$A$15,0)),0))</f>
        <v>0.1</v>
      </c>
      <c r="N161" s="18" t="n">
        <f aca="false">Premissas!$B$4*M161</f>
        <v>10000</v>
      </c>
      <c r="O161" s="18" t="n">
        <f aca="false">N161*K161</f>
        <v>569</v>
      </c>
      <c r="P161" s="18" t="n">
        <f aca="false">P160+O161</f>
        <v>7549.6</v>
      </c>
      <c r="Q161" s="11" t="s">
        <v>51</v>
      </c>
    </row>
    <row r="162" customFormat="false" ht="15" hidden="false" customHeight="false" outlineLevel="0" collapsed="false">
      <c r="A162" s="11" t="n">
        <v>161</v>
      </c>
      <c r="B162" s="11" t="s">
        <v>175</v>
      </c>
      <c r="C162" s="11" t="s">
        <v>49</v>
      </c>
      <c r="D162" s="11" t="s">
        <v>160</v>
      </c>
      <c r="E162" s="12" t="n">
        <v>62</v>
      </c>
      <c r="F162" s="13" t="n">
        <v>0.7</v>
      </c>
      <c r="G162" s="14" t="n">
        <v>1.567</v>
      </c>
      <c r="H162" s="15" t="n">
        <v>46083</v>
      </c>
      <c r="I162" s="15" t="n">
        <v>46091</v>
      </c>
      <c r="J162" s="16" t="n">
        <v>8</v>
      </c>
      <c r="K162" s="17" t="n">
        <v>-0.0193</v>
      </c>
      <c r="L162" s="11" t="s">
        <v>8</v>
      </c>
      <c r="M162" s="13" t="n">
        <f aca="false">IF(Q162="sim",0,IFERROR(INDEX(Premissas!$C$8:$C$15,MATCH(L162,Premissas!$A$8:$A$15,0)),0))</f>
        <v>0.14</v>
      </c>
      <c r="N162" s="18" t="n">
        <f aca="false">Premissas!$B$4*M162</f>
        <v>14000</v>
      </c>
      <c r="O162" s="18" t="n">
        <f aca="false">N162*K162</f>
        <v>-270.2</v>
      </c>
      <c r="P162" s="18" t="n">
        <f aca="false">P161+O162</f>
        <v>7279.4</v>
      </c>
      <c r="Q162" s="11" t="s">
        <v>51</v>
      </c>
    </row>
    <row r="163" customFormat="false" ht="15" hidden="false" customHeight="false" outlineLevel="0" collapsed="false">
      <c r="A163" s="11" t="n">
        <v>162</v>
      </c>
      <c r="B163" s="11" t="s">
        <v>141</v>
      </c>
      <c r="C163" s="11" t="s">
        <v>49</v>
      </c>
      <c r="D163" s="11" t="s">
        <v>160</v>
      </c>
      <c r="E163" s="12" t="n">
        <v>67</v>
      </c>
      <c r="F163" s="13" t="n">
        <v>0.7</v>
      </c>
      <c r="G163" s="14" t="n">
        <v>1.65</v>
      </c>
      <c r="H163" s="15" t="n">
        <v>46091</v>
      </c>
      <c r="I163" s="15" t="n">
        <v>46091</v>
      </c>
      <c r="J163" s="16" t="n">
        <v>0</v>
      </c>
      <c r="K163" s="17" t="n">
        <v>0</v>
      </c>
      <c r="L163" s="11" t="s">
        <v>8</v>
      </c>
      <c r="M163" s="13" t="n">
        <f aca="false">IF(Q163="sim",0,IFERROR(INDEX(Premissas!$C$8:$C$15,MATCH(L163,Premissas!$A$8:$A$15,0)),0))</f>
        <v>0.14</v>
      </c>
      <c r="N163" s="18" t="n">
        <f aca="false">Premissas!$B$4*M163</f>
        <v>14000</v>
      </c>
      <c r="O163" s="18" t="n">
        <f aca="false">N163*K163</f>
        <v>0</v>
      </c>
      <c r="P163" s="18" t="n">
        <f aca="false">P162+O163</f>
        <v>7279.4</v>
      </c>
      <c r="Q163" s="11" t="s">
        <v>51</v>
      </c>
    </row>
    <row r="164" customFormat="false" ht="15" hidden="false" customHeight="false" outlineLevel="0" collapsed="false">
      <c r="A164" s="11" t="n">
        <v>163</v>
      </c>
      <c r="B164" s="11" t="s">
        <v>176</v>
      </c>
      <c r="C164" s="11" t="s">
        <v>49</v>
      </c>
      <c r="D164" s="11" t="s">
        <v>170</v>
      </c>
      <c r="E164" s="12" t="n">
        <v>46.5</v>
      </c>
      <c r="F164" s="13" t="n">
        <v>0.6</v>
      </c>
      <c r="G164" s="14" t="n">
        <v>1.375</v>
      </c>
      <c r="H164" s="15" t="n">
        <v>46090</v>
      </c>
      <c r="I164" s="15" t="n">
        <v>46091</v>
      </c>
      <c r="J164" s="16" t="n">
        <v>1</v>
      </c>
      <c r="K164" s="17" t="n">
        <v>0.003</v>
      </c>
      <c r="L164" s="11" t="s">
        <v>20</v>
      </c>
      <c r="M164" s="13" t="n">
        <f aca="false">IF(Q164="sim",0,IFERROR(INDEX(Premissas!$C$8:$C$15,MATCH(L164,Premissas!$A$8:$A$15,0)),0))</f>
        <v>0.035</v>
      </c>
      <c r="N164" s="18" t="n">
        <f aca="false">Premissas!$B$4*M164</f>
        <v>3500</v>
      </c>
      <c r="O164" s="18" t="n">
        <f aca="false">N164*K164</f>
        <v>10.5</v>
      </c>
      <c r="P164" s="18" t="n">
        <f aca="false">P163+O164</f>
        <v>7289.9</v>
      </c>
      <c r="Q164" s="11" t="s">
        <v>51</v>
      </c>
    </row>
    <row r="165" customFormat="false" ht="15" hidden="false" customHeight="false" outlineLevel="0" collapsed="false">
      <c r="A165" s="11" t="n">
        <v>164</v>
      </c>
      <c r="B165" s="11" t="s">
        <v>168</v>
      </c>
      <c r="C165" s="11" t="s">
        <v>49</v>
      </c>
      <c r="D165" s="11" t="s">
        <v>50</v>
      </c>
      <c r="E165" s="12"/>
      <c r="F165" s="13" t="n">
        <v>0.5577</v>
      </c>
      <c r="G165" s="14" t="n">
        <v>1.69</v>
      </c>
      <c r="H165" s="15" t="n">
        <v>46071</v>
      </c>
      <c r="I165" s="15" t="n">
        <v>46092</v>
      </c>
      <c r="J165" s="16" t="n">
        <v>21</v>
      </c>
      <c r="K165" s="17" t="n">
        <v>-0.0225</v>
      </c>
      <c r="L165" s="11" t="s">
        <v>20</v>
      </c>
      <c r="M165" s="13" t="n">
        <f aca="false">IF(Q165="sim",0,IFERROR(INDEX(Premissas!$C$8:$C$15,MATCH(L165,Premissas!$A$8:$A$15,0)),0))</f>
        <v>0.035</v>
      </c>
      <c r="N165" s="18" t="n">
        <f aca="false">Premissas!$B$4*M165</f>
        <v>3500</v>
      </c>
      <c r="O165" s="18" t="n">
        <f aca="false">N165*K165</f>
        <v>-78.75</v>
      </c>
      <c r="P165" s="18" t="n">
        <f aca="false">P164+O165</f>
        <v>7211.15</v>
      </c>
      <c r="Q165" s="11" t="s">
        <v>51</v>
      </c>
    </row>
    <row r="166" customFormat="false" ht="15" hidden="false" customHeight="false" outlineLevel="0" collapsed="false">
      <c r="A166" s="11" t="n">
        <v>165</v>
      </c>
      <c r="B166" s="11" t="s">
        <v>177</v>
      </c>
      <c r="C166" s="11" t="s">
        <v>49</v>
      </c>
      <c r="D166" s="11" t="s">
        <v>170</v>
      </c>
      <c r="E166" s="12" t="n">
        <v>54.1</v>
      </c>
      <c r="F166" s="13" t="n">
        <v>0.6</v>
      </c>
      <c r="G166" s="14" t="n">
        <v>1.501</v>
      </c>
      <c r="H166" s="15" t="n">
        <v>46091</v>
      </c>
      <c r="I166" s="15" t="n">
        <v>46092</v>
      </c>
      <c r="J166" s="16" t="n">
        <v>1</v>
      </c>
      <c r="K166" s="17" t="n">
        <v>-0.0136</v>
      </c>
      <c r="L166" s="11" t="s">
        <v>10</v>
      </c>
      <c r="M166" s="13" t="n">
        <f aca="false">IF(Q166="sim",0,IFERROR(INDEX(Premissas!$C$8:$C$15,MATCH(L166,Premissas!$A$8:$A$15,0)),0))</f>
        <v>0.1</v>
      </c>
      <c r="N166" s="18" t="n">
        <f aca="false">Premissas!$B$4*M166</f>
        <v>10000</v>
      </c>
      <c r="O166" s="18" t="n">
        <f aca="false">N166*K166</f>
        <v>-136</v>
      </c>
      <c r="P166" s="18" t="n">
        <f aca="false">P165+O166</f>
        <v>7075.15</v>
      </c>
      <c r="Q166" s="11" t="s">
        <v>51</v>
      </c>
    </row>
    <row r="167" customFormat="false" ht="15" hidden="false" customHeight="false" outlineLevel="0" collapsed="false">
      <c r="A167" s="11" t="n">
        <v>166</v>
      </c>
      <c r="B167" s="11" t="s">
        <v>178</v>
      </c>
      <c r="C167" s="11" t="s">
        <v>49</v>
      </c>
      <c r="D167" s="11" t="s">
        <v>160</v>
      </c>
      <c r="E167" s="12" t="n">
        <v>50.2</v>
      </c>
      <c r="F167" s="13" t="n">
        <v>0.7</v>
      </c>
      <c r="G167" s="14" t="n">
        <v>1.369</v>
      </c>
      <c r="H167" s="15" t="n">
        <v>46091</v>
      </c>
      <c r="I167" s="15" t="n">
        <v>46092</v>
      </c>
      <c r="J167" s="16" t="n">
        <v>1</v>
      </c>
      <c r="K167" s="17" t="n">
        <v>-0.0227</v>
      </c>
      <c r="L167" s="11" t="s">
        <v>20</v>
      </c>
      <c r="M167" s="13" t="n">
        <f aca="false">IF(Q167="sim",0,IFERROR(INDEX(Premissas!$C$8:$C$15,MATCH(L167,Premissas!$A$8:$A$15,0)),0))</f>
        <v>0.035</v>
      </c>
      <c r="N167" s="18" t="n">
        <f aca="false">Premissas!$B$4*M167</f>
        <v>3500</v>
      </c>
      <c r="O167" s="18" t="n">
        <f aca="false">N167*K167</f>
        <v>-79.45</v>
      </c>
      <c r="P167" s="18" t="n">
        <f aca="false">P166+O167</f>
        <v>6995.7</v>
      </c>
      <c r="Q167" s="11" t="s">
        <v>51</v>
      </c>
    </row>
    <row r="168" customFormat="false" ht="15" hidden="false" customHeight="false" outlineLevel="0" collapsed="false">
      <c r="A168" s="11" t="n">
        <v>167</v>
      </c>
      <c r="B168" s="11" t="s">
        <v>179</v>
      </c>
      <c r="C168" s="11" t="s">
        <v>49</v>
      </c>
      <c r="D168" s="11" t="s">
        <v>170</v>
      </c>
      <c r="E168" s="12" t="n">
        <v>61.9</v>
      </c>
      <c r="F168" s="13" t="n">
        <v>0.6</v>
      </c>
      <c r="G168" s="14" t="n">
        <v>1.632</v>
      </c>
      <c r="H168" s="15" t="n">
        <v>46079</v>
      </c>
      <c r="I168" s="15" t="n">
        <v>46092</v>
      </c>
      <c r="J168" s="16" t="n">
        <v>13</v>
      </c>
      <c r="K168" s="17" t="n">
        <v>-0.0332</v>
      </c>
      <c r="L168" s="11" t="s">
        <v>10</v>
      </c>
      <c r="M168" s="13" t="n">
        <f aca="false">IF(Q168="sim",0,IFERROR(INDEX(Premissas!$C$8:$C$15,MATCH(L168,Premissas!$A$8:$A$15,0)),0))</f>
        <v>0.1</v>
      </c>
      <c r="N168" s="18" t="n">
        <f aca="false">Premissas!$B$4*M168</f>
        <v>10000</v>
      </c>
      <c r="O168" s="18" t="n">
        <f aca="false">N168*K168</f>
        <v>-332</v>
      </c>
      <c r="P168" s="18" t="n">
        <f aca="false">P167+O168</f>
        <v>6663.7</v>
      </c>
      <c r="Q168" s="11" t="s">
        <v>51</v>
      </c>
    </row>
    <row r="169" customFormat="false" ht="15" hidden="false" customHeight="false" outlineLevel="0" collapsed="false">
      <c r="A169" s="11" t="n">
        <v>168</v>
      </c>
      <c r="B169" s="11" t="s">
        <v>180</v>
      </c>
      <c r="C169" s="11" t="s">
        <v>49</v>
      </c>
      <c r="D169" s="11" t="s">
        <v>160</v>
      </c>
      <c r="E169" s="12" t="n">
        <v>54</v>
      </c>
      <c r="F169" s="13" t="n">
        <v>0.8</v>
      </c>
      <c r="G169" s="14" t="n">
        <v>1.367</v>
      </c>
      <c r="H169" s="15" t="n">
        <v>46090</v>
      </c>
      <c r="I169" s="15" t="n">
        <v>46092</v>
      </c>
      <c r="J169" s="16" t="n">
        <v>2</v>
      </c>
      <c r="K169" s="17" t="n">
        <v>0.0612</v>
      </c>
      <c r="L169" s="11" t="s">
        <v>20</v>
      </c>
      <c r="M169" s="13" t="n">
        <f aca="false">IF(Q169="sim",0,IFERROR(INDEX(Premissas!$C$8:$C$15,MATCH(L169,Premissas!$A$8:$A$15,0)),0))</f>
        <v>0.035</v>
      </c>
      <c r="N169" s="18" t="n">
        <f aca="false">Premissas!$B$4*M169</f>
        <v>3500</v>
      </c>
      <c r="O169" s="18" t="n">
        <f aca="false">N169*K169</f>
        <v>214.2</v>
      </c>
      <c r="P169" s="18" t="n">
        <f aca="false">P168+O169</f>
        <v>6877.9</v>
      </c>
      <c r="Q169" s="11" t="s">
        <v>51</v>
      </c>
    </row>
    <row r="170" customFormat="false" ht="15" hidden="false" customHeight="false" outlineLevel="0" collapsed="false">
      <c r="A170" s="11" t="n">
        <v>169</v>
      </c>
      <c r="B170" s="11" t="s">
        <v>180</v>
      </c>
      <c r="C170" s="11" t="s">
        <v>49</v>
      </c>
      <c r="D170" s="11" t="s">
        <v>160</v>
      </c>
      <c r="E170" s="12" t="n">
        <v>55.3</v>
      </c>
      <c r="F170" s="13" t="n">
        <v>0.8</v>
      </c>
      <c r="G170" s="14" t="n">
        <v>1.389</v>
      </c>
      <c r="H170" s="15" t="n">
        <v>46085</v>
      </c>
      <c r="I170" s="15" t="n">
        <v>46092</v>
      </c>
      <c r="J170" s="16" t="n">
        <v>7</v>
      </c>
      <c r="K170" s="17" t="n">
        <v>0.0752</v>
      </c>
      <c r="L170" s="11" t="s">
        <v>20</v>
      </c>
      <c r="M170" s="13" t="n">
        <f aca="false">IF(Q170="sim",0,IFERROR(INDEX(Premissas!$C$8:$C$15,MATCH(L170,Premissas!$A$8:$A$15,0)),0))</f>
        <v>0.035</v>
      </c>
      <c r="N170" s="18" t="n">
        <f aca="false">Premissas!$B$4*M170</f>
        <v>3500</v>
      </c>
      <c r="O170" s="18" t="n">
        <f aca="false">N170*K170</f>
        <v>263.2</v>
      </c>
      <c r="P170" s="18" t="n">
        <f aca="false">P169+O170</f>
        <v>7141.1</v>
      </c>
      <c r="Q170" s="11" t="s">
        <v>51</v>
      </c>
    </row>
    <row r="171" customFormat="false" ht="15" hidden="false" customHeight="false" outlineLevel="0" collapsed="false">
      <c r="A171" s="11" t="n">
        <v>170</v>
      </c>
      <c r="B171" s="11" t="s">
        <v>180</v>
      </c>
      <c r="C171" s="11" t="s">
        <v>49</v>
      </c>
      <c r="D171" s="11" t="s">
        <v>160</v>
      </c>
      <c r="E171" s="12" t="n">
        <v>55.3</v>
      </c>
      <c r="F171" s="13" t="n">
        <v>0.8</v>
      </c>
      <c r="G171" s="14" t="n">
        <v>1.389</v>
      </c>
      <c r="H171" s="15" t="n">
        <v>46079</v>
      </c>
      <c r="I171" s="15" t="n">
        <v>46092</v>
      </c>
      <c r="J171" s="16" t="n">
        <v>13</v>
      </c>
      <c r="K171" s="17" t="n">
        <v>0.0547</v>
      </c>
      <c r="L171" s="11" t="s">
        <v>20</v>
      </c>
      <c r="M171" s="13" t="n">
        <f aca="false">IF(Q171="sim",0,IFERROR(INDEX(Premissas!$C$8:$C$15,MATCH(L171,Premissas!$A$8:$A$15,0)),0))</f>
        <v>0.035</v>
      </c>
      <c r="N171" s="18" t="n">
        <f aca="false">Premissas!$B$4*M171</f>
        <v>3500</v>
      </c>
      <c r="O171" s="18" t="n">
        <f aca="false">N171*K171</f>
        <v>191.45</v>
      </c>
      <c r="P171" s="18" t="n">
        <f aca="false">P170+O171</f>
        <v>7332.55</v>
      </c>
      <c r="Q171" s="11" t="s">
        <v>51</v>
      </c>
    </row>
    <row r="172" customFormat="false" ht="15" hidden="false" customHeight="false" outlineLevel="0" collapsed="false">
      <c r="A172" s="11" t="n">
        <v>171</v>
      </c>
      <c r="B172" s="11" t="s">
        <v>181</v>
      </c>
      <c r="C172" s="11" t="s">
        <v>49</v>
      </c>
      <c r="D172" s="11" t="s">
        <v>160</v>
      </c>
      <c r="E172" s="12" t="n">
        <v>59</v>
      </c>
      <c r="F172" s="13" t="n">
        <v>0.9</v>
      </c>
      <c r="G172" s="14" t="n">
        <v>1.383</v>
      </c>
      <c r="H172" s="15" t="n">
        <v>46091</v>
      </c>
      <c r="I172" s="15" t="n">
        <v>46093</v>
      </c>
      <c r="J172" s="16" t="n">
        <v>2</v>
      </c>
      <c r="K172" s="17" t="n">
        <v>-0.1358</v>
      </c>
      <c r="L172" s="11" t="s">
        <v>20</v>
      </c>
      <c r="M172" s="13" t="n">
        <f aca="false">IF(Q172="sim",0,IFERROR(INDEX(Premissas!$C$8:$C$15,MATCH(L172,Premissas!$A$8:$A$15,0)),0))</f>
        <v>0.035</v>
      </c>
      <c r="N172" s="18" t="n">
        <f aca="false">Premissas!$B$4*M172</f>
        <v>3500</v>
      </c>
      <c r="O172" s="18" t="n">
        <f aca="false">N172*K172</f>
        <v>-475.3</v>
      </c>
      <c r="P172" s="18" t="n">
        <f aca="false">P171+O172</f>
        <v>6857.25</v>
      </c>
      <c r="Q172" s="11" t="s">
        <v>51</v>
      </c>
    </row>
    <row r="173" customFormat="false" ht="15" hidden="false" customHeight="false" outlineLevel="0" collapsed="false">
      <c r="A173" s="11" t="n">
        <v>172</v>
      </c>
      <c r="B173" s="11" t="s">
        <v>139</v>
      </c>
      <c r="C173" s="11" t="s">
        <v>49</v>
      </c>
      <c r="D173" s="11" t="s">
        <v>160</v>
      </c>
      <c r="E173" s="12" t="n">
        <v>59.3</v>
      </c>
      <c r="F173" s="13" t="n">
        <v>0.7</v>
      </c>
      <c r="G173" s="14" t="n">
        <v>1.521</v>
      </c>
      <c r="H173" s="15" t="n">
        <v>46091</v>
      </c>
      <c r="I173" s="15" t="n">
        <v>46094</v>
      </c>
      <c r="J173" s="16" t="n">
        <v>3</v>
      </c>
      <c r="K173" s="17" t="n">
        <v>-0.0476</v>
      </c>
      <c r="L173" s="11" t="s">
        <v>8</v>
      </c>
      <c r="M173" s="13" t="n">
        <f aca="false">IF(Q173="sim",0,IFERROR(INDEX(Premissas!$C$8:$C$15,MATCH(L173,Premissas!$A$8:$A$15,0)),0))</f>
        <v>0.14</v>
      </c>
      <c r="N173" s="18" t="n">
        <f aca="false">Premissas!$B$4*M173</f>
        <v>14000</v>
      </c>
      <c r="O173" s="18" t="n">
        <f aca="false">N173*K173</f>
        <v>-666.4</v>
      </c>
      <c r="P173" s="18" t="n">
        <f aca="false">P172+O173</f>
        <v>6190.85</v>
      </c>
      <c r="Q173" s="11" t="s">
        <v>51</v>
      </c>
    </row>
    <row r="174" customFormat="false" ht="15" hidden="false" customHeight="false" outlineLevel="0" collapsed="false">
      <c r="A174" s="11" t="n">
        <v>173</v>
      </c>
      <c r="B174" s="11" t="s">
        <v>182</v>
      </c>
      <c r="C174" s="11" t="s">
        <v>49</v>
      </c>
      <c r="D174" s="11" t="s">
        <v>170</v>
      </c>
      <c r="E174" s="12" t="n">
        <v>51.8</v>
      </c>
      <c r="F174" s="13" t="n">
        <v>0.6</v>
      </c>
      <c r="G174" s="14" t="n">
        <v>1.464</v>
      </c>
      <c r="H174" s="15" t="n">
        <v>46080</v>
      </c>
      <c r="I174" s="15" t="n">
        <v>46094</v>
      </c>
      <c r="J174" s="16" t="n">
        <v>14</v>
      </c>
      <c r="K174" s="17" t="n">
        <v>-0.0396</v>
      </c>
      <c r="L174" s="11" t="s">
        <v>10</v>
      </c>
      <c r="M174" s="13" t="n">
        <f aca="false">IF(Q174="sim",0,IFERROR(INDEX(Premissas!$C$8:$C$15,MATCH(L174,Premissas!$A$8:$A$15,0)),0))</f>
        <v>0.1</v>
      </c>
      <c r="N174" s="18" t="n">
        <f aca="false">Premissas!$B$4*M174</f>
        <v>10000</v>
      </c>
      <c r="O174" s="18" t="n">
        <f aca="false">N174*K174</f>
        <v>-396</v>
      </c>
      <c r="P174" s="18" t="n">
        <f aca="false">P173+O174</f>
        <v>5794.85</v>
      </c>
      <c r="Q174" s="11" t="s">
        <v>51</v>
      </c>
    </row>
    <row r="175" customFormat="false" ht="15" hidden="false" customHeight="false" outlineLevel="0" collapsed="false">
      <c r="A175" s="11" t="n">
        <v>174</v>
      </c>
      <c r="B175" s="11" t="s">
        <v>183</v>
      </c>
      <c r="C175" s="11" t="s">
        <v>184</v>
      </c>
      <c r="D175" s="11" t="s">
        <v>185</v>
      </c>
      <c r="E175" s="12" t="n">
        <v>53.1</v>
      </c>
      <c r="F175" s="13" t="n">
        <v>0.5</v>
      </c>
      <c r="G175" s="14" t="n">
        <v>1.484</v>
      </c>
      <c r="H175" s="15" t="n">
        <v>46092</v>
      </c>
      <c r="I175" s="15" t="n">
        <v>46094</v>
      </c>
      <c r="J175" s="16" t="n">
        <v>2</v>
      </c>
      <c r="K175" s="17" t="n">
        <v>-0.041</v>
      </c>
      <c r="L175" s="11" t="s">
        <v>22</v>
      </c>
      <c r="M175" s="13" t="n">
        <f aca="false">IF(Q175="sim",0,IFERROR(INDEX(Premissas!$C$8:$C$15,MATCH(L175,Premissas!$A$8:$A$15,0)),0))</f>
        <v>0</v>
      </c>
      <c r="N175" s="18" t="n">
        <f aca="false">Premissas!$B$4*M175</f>
        <v>0</v>
      </c>
      <c r="O175" s="18" t="n">
        <f aca="false">N175*K175</f>
        <v>-0</v>
      </c>
      <c r="P175" s="18" t="n">
        <f aca="false">P174+O175</f>
        <v>5794.85</v>
      </c>
      <c r="Q175" s="11" t="s">
        <v>51</v>
      </c>
    </row>
    <row r="176" customFormat="false" ht="15" hidden="false" customHeight="false" outlineLevel="0" collapsed="false">
      <c r="A176" s="11" t="n">
        <v>175</v>
      </c>
      <c r="B176" s="11" t="s">
        <v>186</v>
      </c>
      <c r="C176" s="11" t="s">
        <v>49</v>
      </c>
      <c r="D176" s="11" t="s">
        <v>160</v>
      </c>
      <c r="E176" s="12" t="n">
        <v>50.6</v>
      </c>
      <c r="F176" s="13" t="n">
        <v>0.7</v>
      </c>
      <c r="G176" s="14" t="n">
        <v>1.376</v>
      </c>
      <c r="H176" s="15" t="n">
        <v>46085</v>
      </c>
      <c r="I176" s="15" t="n">
        <v>46099</v>
      </c>
      <c r="J176" s="16" t="n">
        <v>14</v>
      </c>
      <c r="K176" s="17" t="n">
        <v>-0.0456</v>
      </c>
      <c r="L176" s="11" t="s">
        <v>20</v>
      </c>
      <c r="M176" s="13" t="n">
        <f aca="false">IF(Q176="sim",0,IFERROR(INDEX(Premissas!$C$8:$C$15,MATCH(L176,Premissas!$A$8:$A$15,0)),0))</f>
        <v>0.035</v>
      </c>
      <c r="N176" s="18" t="n">
        <f aca="false">Premissas!$B$4*M176</f>
        <v>3500</v>
      </c>
      <c r="O176" s="18" t="n">
        <f aca="false">N176*K176</f>
        <v>-159.6</v>
      </c>
      <c r="P176" s="18" t="n">
        <f aca="false">P175+O176</f>
        <v>5635.25</v>
      </c>
      <c r="Q176" s="11" t="s">
        <v>51</v>
      </c>
    </row>
    <row r="177" customFormat="false" ht="15" hidden="false" customHeight="false" outlineLevel="0" collapsed="false">
      <c r="A177" s="11" t="n">
        <v>176</v>
      </c>
      <c r="B177" s="11" t="s">
        <v>175</v>
      </c>
      <c r="C177" s="11" t="s">
        <v>49</v>
      </c>
      <c r="D177" s="11" t="s">
        <v>160</v>
      </c>
      <c r="E177" s="12" t="n">
        <v>62</v>
      </c>
      <c r="F177" s="13" t="n">
        <v>0.7</v>
      </c>
      <c r="G177" s="14" t="n">
        <v>1.567</v>
      </c>
      <c r="H177" s="15" t="n">
        <v>46076</v>
      </c>
      <c r="I177" s="15" t="n">
        <v>46099</v>
      </c>
      <c r="J177" s="16" t="n">
        <v>23</v>
      </c>
      <c r="K177" s="17" t="n">
        <v>0.1126</v>
      </c>
      <c r="L177" s="11" t="s">
        <v>8</v>
      </c>
      <c r="M177" s="13" t="n">
        <f aca="false">IF(Q177="sim",0,IFERROR(INDEX(Premissas!$C$8:$C$15,MATCH(L177,Premissas!$A$8:$A$15,0)),0))</f>
        <v>0.14</v>
      </c>
      <c r="N177" s="18" t="n">
        <f aca="false">Premissas!$B$4*M177</f>
        <v>14000</v>
      </c>
      <c r="O177" s="18" t="n">
        <f aca="false">N177*K177</f>
        <v>1576.4</v>
      </c>
      <c r="P177" s="18" t="n">
        <f aca="false">P176+O177</f>
        <v>7211.65</v>
      </c>
      <c r="Q177" s="11" t="s">
        <v>51</v>
      </c>
    </row>
    <row r="178" customFormat="false" ht="15" hidden="false" customHeight="false" outlineLevel="0" collapsed="false">
      <c r="A178" s="11" t="n">
        <v>177</v>
      </c>
      <c r="B178" s="11" t="s">
        <v>175</v>
      </c>
      <c r="C178" s="11" t="s">
        <v>49</v>
      </c>
      <c r="D178" s="11" t="s">
        <v>160</v>
      </c>
      <c r="E178" s="12" t="n">
        <v>62</v>
      </c>
      <c r="F178" s="13" t="n">
        <v>0.7</v>
      </c>
      <c r="G178" s="14" t="n">
        <v>1.567</v>
      </c>
      <c r="H178" s="15" t="n">
        <v>46076</v>
      </c>
      <c r="I178" s="15" t="n">
        <v>46099</v>
      </c>
      <c r="J178" s="16" t="n">
        <v>23</v>
      </c>
      <c r="K178" s="17" t="n">
        <v>0.1126</v>
      </c>
      <c r="L178" s="11" t="s">
        <v>8</v>
      </c>
      <c r="M178" s="13" t="n">
        <f aca="false">IF(Q178="sim",0,IFERROR(INDEX(Premissas!$C$8:$C$15,MATCH(L178,Premissas!$A$8:$A$15,0)),0))</f>
        <v>0.14</v>
      </c>
      <c r="N178" s="18" t="n">
        <f aca="false">Premissas!$B$4*M178</f>
        <v>14000</v>
      </c>
      <c r="O178" s="18" t="n">
        <f aca="false">N178*K178</f>
        <v>1576.4</v>
      </c>
      <c r="P178" s="18" t="n">
        <f aca="false">P177+O178</f>
        <v>8788.05</v>
      </c>
      <c r="Q178" s="11" t="s">
        <v>51</v>
      </c>
    </row>
    <row r="179" customFormat="false" ht="15" hidden="false" customHeight="false" outlineLevel="0" collapsed="false">
      <c r="A179" s="11" t="n">
        <v>178</v>
      </c>
      <c r="B179" s="11" t="s">
        <v>175</v>
      </c>
      <c r="C179" s="11" t="s">
        <v>49</v>
      </c>
      <c r="D179" s="11" t="s">
        <v>50</v>
      </c>
      <c r="E179" s="12"/>
      <c r="F179" s="13" t="n">
        <v>0.6444</v>
      </c>
      <c r="G179" s="14" t="n">
        <v>1.567</v>
      </c>
      <c r="H179" s="15" t="n">
        <v>46066</v>
      </c>
      <c r="I179" s="15" t="n">
        <v>46099</v>
      </c>
      <c r="J179" s="16" t="n">
        <v>33</v>
      </c>
      <c r="K179" s="17" t="n">
        <v>0.0963</v>
      </c>
      <c r="L179" s="11" t="s">
        <v>10</v>
      </c>
      <c r="M179" s="13" t="n">
        <f aca="false">IF(Q179="sim",0,IFERROR(INDEX(Premissas!$C$8:$C$15,MATCH(L179,Premissas!$A$8:$A$15,0)),0))</f>
        <v>0.1</v>
      </c>
      <c r="N179" s="18" t="n">
        <f aca="false">Premissas!$B$4*M179</f>
        <v>10000</v>
      </c>
      <c r="O179" s="18" t="n">
        <f aca="false">N179*K179</f>
        <v>963</v>
      </c>
      <c r="P179" s="18" t="n">
        <f aca="false">P178+O179</f>
        <v>9751.05</v>
      </c>
      <c r="Q179" s="11" t="s">
        <v>51</v>
      </c>
    </row>
    <row r="180" customFormat="false" ht="15" hidden="false" customHeight="false" outlineLevel="0" collapsed="false">
      <c r="A180" s="11" t="n">
        <v>179</v>
      </c>
      <c r="B180" s="11" t="s">
        <v>187</v>
      </c>
      <c r="C180" s="11" t="s">
        <v>49</v>
      </c>
      <c r="D180" s="11" t="s">
        <v>170</v>
      </c>
      <c r="E180" s="12" t="n">
        <v>46.7</v>
      </c>
      <c r="F180" s="13" t="n">
        <v>0.6</v>
      </c>
      <c r="G180" s="14" t="n">
        <v>1.378</v>
      </c>
      <c r="H180" s="15" t="n">
        <v>46090</v>
      </c>
      <c r="I180" s="15" t="n">
        <v>46100</v>
      </c>
      <c r="J180" s="16" t="n">
        <v>10</v>
      </c>
      <c r="K180" s="17" t="n">
        <v>-0.0262</v>
      </c>
      <c r="L180" s="11" t="s">
        <v>20</v>
      </c>
      <c r="M180" s="13" t="n">
        <f aca="false">IF(Q180="sim",0,IFERROR(INDEX(Premissas!$C$8:$C$15,MATCH(L180,Premissas!$A$8:$A$15,0)),0))</f>
        <v>0.035</v>
      </c>
      <c r="N180" s="18" t="n">
        <f aca="false">Premissas!$B$4*M180</f>
        <v>3500</v>
      </c>
      <c r="O180" s="18" t="n">
        <f aca="false">N180*K180</f>
        <v>-91.7</v>
      </c>
      <c r="P180" s="18" t="n">
        <f aca="false">P179+O180</f>
        <v>9659.35</v>
      </c>
      <c r="Q180" s="11" t="s">
        <v>51</v>
      </c>
    </row>
    <row r="181" customFormat="false" ht="15" hidden="false" customHeight="false" outlineLevel="0" collapsed="false">
      <c r="A181" s="11" t="n">
        <v>180</v>
      </c>
      <c r="B181" s="11" t="s">
        <v>178</v>
      </c>
      <c r="C181" s="11" t="s">
        <v>188</v>
      </c>
      <c r="D181" s="11" t="s">
        <v>170</v>
      </c>
      <c r="E181" s="12"/>
      <c r="F181" s="13" t="n">
        <v>0.67</v>
      </c>
      <c r="G181" s="14" t="n">
        <v>1.369</v>
      </c>
      <c r="H181" s="15" t="n">
        <v>46099</v>
      </c>
      <c r="I181" s="15" t="n">
        <v>46100</v>
      </c>
      <c r="J181" s="16" t="n">
        <v>1</v>
      </c>
      <c r="K181" s="17" t="n">
        <v>0.0354</v>
      </c>
      <c r="L181" s="11" t="s">
        <v>20</v>
      </c>
      <c r="M181" s="13" t="n">
        <f aca="false">IF(Q181="sim",0,IFERROR(INDEX(Premissas!$C$8:$C$15,MATCH(L181,Premissas!$A$8:$A$15,0)),0))</f>
        <v>0.035</v>
      </c>
      <c r="N181" s="18" t="n">
        <f aca="false">Premissas!$B$4*M181</f>
        <v>3500</v>
      </c>
      <c r="O181" s="18" t="n">
        <f aca="false">N181*K181</f>
        <v>123.9</v>
      </c>
      <c r="P181" s="18" t="n">
        <f aca="false">P180+O181</f>
        <v>9783.25</v>
      </c>
      <c r="Q181" s="11" t="s">
        <v>51</v>
      </c>
    </row>
    <row r="182" customFormat="false" ht="15" hidden="false" customHeight="false" outlineLevel="0" collapsed="false">
      <c r="A182" s="11" t="n">
        <v>181</v>
      </c>
      <c r="B182" s="11" t="s">
        <v>189</v>
      </c>
      <c r="C182" s="11" t="s">
        <v>188</v>
      </c>
      <c r="D182" s="11" t="s">
        <v>170</v>
      </c>
      <c r="E182" s="12"/>
      <c r="F182" s="13" t="n">
        <v>0.6727</v>
      </c>
      <c r="G182" s="14" t="n">
        <v>1.471</v>
      </c>
      <c r="H182" s="15" t="n">
        <v>46099</v>
      </c>
      <c r="I182" s="15" t="n">
        <v>46100</v>
      </c>
      <c r="J182" s="16" t="n">
        <v>1</v>
      </c>
      <c r="K182" s="17" t="n">
        <v>0.0811</v>
      </c>
      <c r="L182" s="11" t="s">
        <v>10</v>
      </c>
      <c r="M182" s="13" t="n">
        <f aca="false">IF(Q182="sim",0,IFERROR(INDEX(Premissas!$C$8:$C$15,MATCH(L182,Premissas!$A$8:$A$15,0)),0))</f>
        <v>0.1</v>
      </c>
      <c r="N182" s="18" t="n">
        <f aca="false">Premissas!$B$4*M182</f>
        <v>10000</v>
      </c>
      <c r="O182" s="18" t="n">
        <f aca="false">N182*K182</f>
        <v>811</v>
      </c>
      <c r="P182" s="18" t="n">
        <f aca="false">P181+O182</f>
        <v>10594.25</v>
      </c>
      <c r="Q182" s="11" t="s">
        <v>51</v>
      </c>
    </row>
    <row r="183" customFormat="false" ht="15" hidden="false" customHeight="false" outlineLevel="0" collapsed="false">
      <c r="A183" s="11" t="n">
        <v>182</v>
      </c>
      <c r="B183" s="11" t="s">
        <v>189</v>
      </c>
      <c r="C183" s="11" t="s">
        <v>188</v>
      </c>
      <c r="D183" s="11" t="s">
        <v>170</v>
      </c>
      <c r="E183" s="12"/>
      <c r="F183" s="13" t="n">
        <v>0.6727</v>
      </c>
      <c r="G183" s="14" t="n">
        <v>1.471</v>
      </c>
      <c r="H183" s="15" t="n">
        <v>46092</v>
      </c>
      <c r="I183" s="15" t="n">
        <v>46100</v>
      </c>
      <c r="J183" s="16" t="n">
        <v>8</v>
      </c>
      <c r="K183" s="17" t="n">
        <v>0.0534</v>
      </c>
      <c r="L183" s="11" t="s">
        <v>10</v>
      </c>
      <c r="M183" s="13" t="n">
        <f aca="false">IF(Q183="sim",0,IFERROR(INDEX(Premissas!$C$8:$C$15,MATCH(L183,Premissas!$A$8:$A$15,0)),0))</f>
        <v>0.1</v>
      </c>
      <c r="N183" s="18" t="n">
        <f aca="false">Premissas!$B$4*M183</f>
        <v>10000</v>
      </c>
      <c r="O183" s="18" t="n">
        <f aca="false">N183*K183</f>
        <v>534</v>
      </c>
      <c r="P183" s="18" t="n">
        <f aca="false">P182+O183</f>
        <v>11128.25</v>
      </c>
      <c r="Q183" s="11" t="s">
        <v>51</v>
      </c>
    </row>
    <row r="184" customFormat="false" ht="15" hidden="false" customHeight="false" outlineLevel="0" collapsed="false">
      <c r="A184" s="11" t="n">
        <v>183</v>
      </c>
      <c r="B184" s="11" t="s">
        <v>139</v>
      </c>
      <c r="C184" s="11" t="s">
        <v>188</v>
      </c>
      <c r="D184" s="11" t="s">
        <v>170</v>
      </c>
      <c r="E184" s="12"/>
      <c r="F184" s="13" t="n">
        <v>0.6429</v>
      </c>
      <c r="G184" s="14" t="n">
        <v>1.531</v>
      </c>
      <c r="H184" s="15" t="n">
        <v>46098</v>
      </c>
      <c r="I184" s="15" t="n">
        <v>46100</v>
      </c>
      <c r="J184" s="16" t="n">
        <v>2</v>
      </c>
      <c r="K184" s="17" t="n">
        <v>0.061</v>
      </c>
      <c r="L184" s="11" t="s">
        <v>10</v>
      </c>
      <c r="M184" s="13" t="n">
        <f aca="false">IF(Q184="sim",0,IFERROR(INDEX(Premissas!$C$8:$C$15,MATCH(L184,Premissas!$A$8:$A$15,0)),0))</f>
        <v>0.1</v>
      </c>
      <c r="N184" s="18" t="n">
        <f aca="false">Premissas!$B$4*M184</f>
        <v>10000</v>
      </c>
      <c r="O184" s="18" t="n">
        <f aca="false">N184*K184</f>
        <v>610</v>
      </c>
      <c r="P184" s="18" t="n">
        <f aca="false">P183+O184</f>
        <v>11738.25</v>
      </c>
      <c r="Q184" s="11" t="s">
        <v>51</v>
      </c>
    </row>
    <row r="185" customFormat="false" ht="15" hidden="false" customHeight="false" outlineLevel="0" collapsed="false">
      <c r="A185" s="11" t="n">
        <v>184</v>
      </c>
      <c r="B185" s="11" t="s">
        <v>190</v>
      </c>
      <c r="C185" s="11" t="s">
        <v>184</v>
      </c>
      <c r="D185" s="11" t="s">
        <v>191</v>
      </c>
      <c r="E185" s="12" t="n">
        <v>95.1</v>
      </c>
      <c r="F185" s="13" t="n">
        <v>0.8</v>
      </c>
      <c r="G185" s="14" t="n">
        <v>3.862</v>
      </c>
      <c r="H185" s="15" t="n">
        <v>46099</v>
      </c>
      <c r="I185" s="15" t="n">
        <v>46101</v>
      </c>
      <c r="J185" s="16" t="n">
        <v>2</v>
      </c>
      <c r="K185" s="17" t="n">
        <v>0.0594</v>
      </c>
      <c r="L185" s="11" t="s">
        <v>18</v>
      </c>
      <c r="M185" s="13" t="n">
        <f aca="false">IF(Q185="sim",0,IFERROR(INDEX(Premissas!$C$8:$C$15,MATCH(L185,Premissas!$A$8:$A$15,0)),0))</f>
        <v>0.06</v>
      </c>
      <c r="N185" s="18" t="n">
        <f aca="false">Premissas!$B$4*M185</f>
        <v>6000</v>
      </c>
      <c r="O185" s="18" t="n">
        <f aca="false">N185*K185</f>
        <v>356.4</v>
      </c>
      <c r="P185" s="18" t="n">
        <f aca="false">P184+O185</f>
        <v>12094.65</v>
      </c>
      <c r="Q185" s="11" t="s">
        <v>51</v>
      </c>
    </row>
    <row r="186" customFormat="false" ht="15" hidden="false" customHeight="false" outlineLevel="0" collapsed="false">
      <c r="A186" s="11" t="n">
        <v>185</v>
      </c>
      <c r="B186" s="11" t="s">
        <v>152</v>
      </c>
      <c r="C186" s="11" t="s">
        <v>188</v>
      </c>
      <c r="D186" s="11" t="s">
        <v>160</v>
      </c>
      <c r="E186" s="12"/>
      <c r="F186" s="13" t="n">
        <v>0.7692</v>
      </c>
      <c r="G186" s="14" t="n">
        <v>1.339</v>
      </c>
      <c r="H186" s="15" t="n">
        <v>46105</v>
      </c>
      <c r="I186" s="15" t="n">
        <v>46105</v>
      </c>
      <c r="J186" s="16" t="n">
        <v>0</v>
      </c>
      <c r="K186" s="17" t="n">
        <v>0</v>
      </c>
      <c r="L186" s="11" t="s">
        <v>20</v>
      </c>
      <c r="M186" s="13" t="n">
        <f aca="false">IF(Q186="sim",0,IFERROR(INDEX(Premissas!$C$8:$C$15,MATCH(L186,Premissas!$A$8:$A$15,0)),0))</f>
        <v>0.035</v>
      </c>
      <c r="N186" s="18" t="n">
        <f aca="false">Premissas!$B$4*M186</f>
        <v>3500</v>
      </c>
      <c r="O186" s="18" t="n">
        <f aca="false">N186*K186</f>
        <v>0</v>
      </c>
      <c r="P186" s="18" t="n">
        <f aca="false">P185+O186</f>
        <v>12094.65</v>
      </c>
      <c r="Q186" s="11" t="s">
        <v>51</v>
      </c>
    </row>
    <row r="187" customFormat="false" ht="15" hidden="false" customHeight="false" outlineLevel="0" collapsed="false">
      <c r="A187" s="11" t="n">
        <v>186</v>
      </c>
      <c r="B187" s="11" t="s">
        <v>183</v>
      </c>
      <c r="C187" s="11" t="s">
        <v>188</v>
      </c>
      <c r="D187" s="11" t="s">
        <v>170</v>
      </c>
      <c r="E187" s="12"/>
      <c r="F187" s="13" t="n">
        <v>0.6441</v>
      </c>
      <c r="G187" s="14" t="n">
        <v>1.469</v>
      </c>
      <c r="H187" s="15" t="n">
        <v>46104</v>
      </c>
      <c r="I187" s="15" t="n">
        <v>46105</v>
      </c>
      <c r="J187" s="16" t="n">
        <v>1</v>
      </c>
      <c r="K187" s="17" t="n">
        <v>0.0056</v>
      </c>
      <c r="L187" s="11" t="s">
        <v>10</v>
      </c>
      <c r="M187" s="13" t="n">
        <f aca="false">IF(Q187="sim",0,IFERROR(INDEX(Premissas!$C$8:$C$15,MATCH(L187,Premissas!$A$8:$A$15,0)),0))</f>
        <v>0.1</v>
      </c>
      <c r="N187" s="18" t="n">
        <f aca="false">Premissas!$B$4*M187</f>
        <v>10000</v>
      </c>
      <c r="O187" s="18" t="n">
        <f aca="false">N187*K187</f>
        <v>56</v>
      </c>
      <c r="P187" s="18" t="n">
        <f aca="false">P186+O187</f>
        <v>12150.65</v>
      </c>
      <c r="Q187" s="11" t="s">
        <v>51</v>
      </c>
    </row>
    <row r="188" customFormat="false" ht="15" hidden="false" customHeight="false" outlineLevel="0" collapsed="false">
      <c r="A188" s="11" t="n">
        <v>187</v>
      </c>
      <c r="B188" s="11" t="s">
        <v>192</v>
      </c>
      <c r="C188" s="11" t="s">
        <v>188</v>
      </c>
      <c r="D188" s="11" t="s">
        <v>160</v>
      </c>
      <c r="E188" s="12"/>
      <c r="F188" s="13" t="n">
        <v>0.7376</v>
      </c>
      <c r="G188" s="14" t="n">
        <v>1.563</v>
      </c>
      <c r="H188" s="15" t="n">
        <v>46104</v>
      </c>
      <c r="I188" s="15" t="n">
        <v>46105</v>
      </c>
      <c r="J188" s="16" t="n">
        <v>1</v>
      </c>
      <c r="K188" s="17" t="n">
        <v>0.0528</v>
      </c>
      <c r="L188" s="11" t="s">
        <v>8</v>
      </c>
      <c r="M188" s="13" t="n">
        <f aca="false">IF(Q188="sim",0,IFERROR(INDEX(Premissas!$C$8:$C$15,MATCH(L188,Premissas!$A$8:$A$15,0)),0))</f>
        <v>0.14</v>
      </c>
      <c r="N188" s="18" t="n">
        <f aca="false">Premissas!$B$4*M188</f>
        <v>14000</v>
      </c>
      <c r="O188" s="18" t="n">
        <f aca="false">N188*K188</f>
        <v>739.2</v>
      </c>
      <c r="P188" s="18" t="n">
        <f aca="false">P187+O188</f>
        <v>12889.85</v>
      </c>
      <c r="Q188" s="11" t="s">
        <v>51</v>
      </c>
    </row>
    <row r="189" customFormat="false" ht="15" hidden="false" customHeight="false" outlineLevel="0" collapsed="false">
      <c r="A189" s="11" t="n">
        <v>188</v>
      </c>
      <c r="B189" s="11" t="s">
        <v>168</v>
      </c>
      <c r="C189" s="11" t="s">
        <v>49</v>
      </c>
      <c r="D189" s="11" t="s">
        <v>50</v>
      </c>
      <c r="E189" s="12"/>
      <c r="F189" s="13" t="n">
        <v>0.5577</v>
      </c>
      <c r="G189" s="14" t="n">
        <v>1.69</v>
      </c>
      <c r="H189" s="15" t="n">
        <v>46071</v>
      </c>
      <c r="I189" s="15" t="n">
        <v>46105</v>
      </c>
      <c r="J189" s="16" t="n">
        <v>34</v>
      </c>
      <c r="K189" s="17" t="n">
        <v>0.0542</v>
      </c>
      <c r="L189" s="11" t="s">
        <v>20</v>
      </c>
      <c r="M189" s="13" t="n">
        <f aca="false">IF(Q189="sim",0,IFERROR(INDEX(Premissas!$C$8:$C$15,MATCH(L189,Premissas!$A$8:$A$15,0)),0))</f>
        <v>0.035</v>
      </c>
      <c r="N189" s="18" t="n">
        <f aca="false">Premissas!$B$4*M189</f>
        <v>3500</v>
      </c>
      <c r="O189" s="18" t="n">
        <f aca="false">N189*K189</f>
        <v>189.7</v>
      </c>
      <c r="P189" s="18" t="n">
        <f aca="false">P188+O189</f>
        <v>13079.55</v>
      </c>
      <c r="Q189" s="11" t="s">
        <v>51</v>
      </c>
    </row>
    <row r="190" customFormat="false" ht="15" hidden="false" customHeight="false" outlineLevel="0" collapsed="false">
      <c r="A190" s="11" t="n">
        <v>189</v>
      </c>
      <c r="B190" s="11" t="s">
        <v>193</v>
      </c>
      <c r="C190" s="11" t="s">
        <v>184</v>
      </c>
      <c r="D190" s="11" t="s">
        <v>191</v>
      </c>
      <c r="E190" s="12" t="n">
        <v>78.1</v>
      </c>
      <c r="F190" s="13" t="n">
        <v>1</v>
      </c>
      <c r="G190" s="14"/>
      <c r="H190" s="15" t="n">
        <v>46106</v>
      </c>
      <c r="I190" s="15" t="n">
        <v>46107</v>
      </c>
      <c r="J190" s="16" t="n">
        <v>1</v>
      </c>
      <c r="K190" s="17" t="n">
        <v>0.0145</v>
      </c>
      <c r="L190" s="11" t="s">
        <v>20</v>
      </c>
      <c r="M190" s="13" t="n">
        <f aca="false">IF(Q190="sim",0,IFERROR(INDEX(Premissas!$C$8:$C$15,MATCH(L190,Premissas!$A$8:$A$15,0)),0))</f>
        <v>0.035</v>
      </c>
      <c r="N190" s="18" t="n">
        <f aca="false">Premissas!$B$4*M190</f>
        <v>3500</v>
      </c>
      <c r="O190" s="18" t="n">
        <f aca="false">N190*K190</f>
        <v>50.75</v>
      </c>
      <c r="P190" s="18" t="n">
        <f aca="false">P189+O190</f>
        <v>13130.3</v>
      </c>
      <c r="Q190" s="11" t="s">
        <v>51</v>
      </c>
    </row>
    <row r="191" customFormat="false" ht="15" hidden="false" customHeight="false" outlineLevel="0" collapsed="false">
      <c r="A191" s="11" t="n">
        <v>190</v>
      </c>
      <c r="B191" s="11" t="s">
        <v>194</v>
      </c>
      <c r="C191" s="11" t="s">
        <v>188</v>
      </c>
      <c r="D191" s="11" t="s">
        <v>170</v>
      </c>
      <c r="E191" s="12"/>
      <c r="F191" s="13" t="n">
        <v>0.6667</v>
      </c>
      <c r="G191" s="14" t="n">
        <v>1.479</v>
      </c>
      <c r="H191" s="15" t="n">
        <v>46104</v>
      </c>
      <c r="I191" s="15" t="n">
        <v>46107</v>
      </c>
      <c r="J191" s="16" t="n">
        <v>3</v>
      </c>
      <c r="K191" s="17" t="n">
        <v>-0.0897</v>
      </c>
      <c r="L191" s="11" t="s">
        <v>10</v>
      </c>
      <c r="M191" s="13" t="n">
        <f aca="false">IF(Q191="sim",0,IFERROR(INDEX(Premissas!$C$8:$C$15,MATCH(L191,Premissas!$A$8:$A$15,0)),0))</f>
        <v>0.1</v>
      </c>
      <c r="N191" s="18" t="n">
        <f aca="false">Premissas!$B$4*M191</f>
        <v>10000</v>
      </c>
      <c r="O191" s="18" t="n">
        <f aca="false">N191*K191</f>
        <v>-897</v>
      </c>
      <c r="P191" s="18" t="n">
        <f aca="false">P190+O191</f>
        <v>12233.3</v>
      </c>
      <c r="Q191" s="11" t="s">
        <v>51</v>
      </c>
    </row>
    <row r="192" customFormat="false" ht="15" hidden="false" customHeight="false" outlineLevel="0" collapsed="false">
      <c r="A192" s="11" t="n">
        <v>191</v>
      </c>
      <c r="B192" s="11" t="s">
        <v>183</v>
      </c>
      <c r="C192" s="11" t="s">
        <v>188</v>
      </c>
      <c r="D192" s="11" t="s">
        <v>170</v>
      </c>
      <c r="E192" s="12"/>
      <c r="F192" s="13" t="n">
        <v>0.6441</v>
      </c>
      <c r="G192" s="14" t="n">
        <v>1.469</v>
      </c>
      <c r="H192" s="15" t="n">
        <v>46098</v>
      </c>
      <c r="I192" s="15" t="n">
        <v>46108</v>
      </c>
      <c r="J192" s="16" t="n">
        <v>10</v>
      </c>
      <c r="K192" s="17" t="n">
        <v>-0.0047</v>
      </c>
      <c r="L192" s="11" t="s">
        <v>10</v>
      </c>
      <c r="M192" s="13" t="n">
        <f aca="false">IF(Q192="sim",0,IFERROR(INDEX(Premissas!$C$8:$C$15,MATCH(L192,Premissas!$A$8:$A$15,0)),0))</f>
        <v>0.1</v>
      </c>
      <c r="N192" s="18" t="n">
        <f aca="false">Premissas!$B$4*M192</f>
        <v>10000</v>
      </c>
      <c r="O192" s="18" t="n">
        <f aca="false">N192*K192</f>
        <v>-47</v>
      </c>
      <c r="P192" s="18" t="n">
        <f aca="false">P191+O192</f>
        <v>12186.3</v>
      </c>
      <c r="Q192" s="11" t="s">
        <v>51</v>
      </c>
    </row>
    <row r="193" customFormat="false" ht="15" hidden="false" customHeight="false" outlineLevel="0" collapsed="false">
      <c r="A193" s="11" t="n">
        <v>192</v>
      </c>
      <c r="B193" s="11" t="s">
        <v>195</v>
      </c>
      <c r="C193" s="11" t="s">
        <v>188</v>
      </c>
      <c r="D193" s="11" t="s">
        <v>170</v>
      </c>
      <c r="E193" s="12"/>
      <c r="F193" s="13" t="n">
        <v>0.6348</v>
      </c>
      <c r="G193" s="14" t="n">
        <v>1.439</v>
      </c>
      <c r="H193" s="15" t="n">
        <v>46098</v>
      </c>
      <c r="I193" s="15" t="n">
        <v>46109</v>
      </c>
      <c r="J193" s="16" t="n">
        <v>11</v>
      </c>
      <c r="K193" s="17" t="n">
        <v>0.0748</v>
      </c>
      <c r="L193" s="11" t="s">
        <v>10</v>
      </c>
      <c r="M193" s="13" t="n">
        <f aca="false">IF(Q193="sim",0,IFERROR(INDEX(Premissas!$C$8:$C$15,MATCH(L193,Premissas!$A$8:$A$15,0)),0))</f>
        <v>0.1</v>
      </c>
      <c r="N193" s="18" t="n">
        <f aca="false">Premissas!$B$4*M193</f>
        <v>10000</v>
      </c>
      <c r="O193" s="18" t="n">
        <f aca="false">N193*K193</f>
        <v>748</v>
      </c>
      <c r="P193" s="18" t="n">
        <f aca="false">P192+O193</f>
        <v>12934.3</v>
      </c>
      <c r="Q193" s="11" t="s">
        <v>51</v>
      </c>
    </row>
    <row r="194" customFormat="false" ht="15" hidden="false" customHeight="false" outlineLevel="0" collapsed="false">
      <c r="A194" s="11" t="n">
        <v>193</v>
      </c>
      <c r="B194" s="11" t="s">
        <v>196</v>
      </c>
      <c r="C194" s="11" t="s">
        <v>184</v>
      </c>
      <c r="D194" s="11" t="s">
        <v>197</v>
      </c>
      <c r="E194" s="12" t="n">
        <v>68.1</v>
      </c>
      <c r="F194" s="13" t="n">
        <v>0.6</v>
      </c>
      <c r="G194" s="14"/>
      <c r="H194" s="15" t="n">
        <v>46112</v>
      </c>
      <c r="I194" s="15" t="n">
        <v>46113</v>
      </c>
      <c r="J194" s="16" t="n">
        <v>1</v>
      </c>
      <c r="K194" s="17" t="n">
        <v>0.0064</v>
      </c>
      <c r="L194" s="11" t="s">
        <v>20</v>
      </c>
      <c r="M194" s="13" t="n">
        <f aca="false">IF(Q194="sim",0,IFERROR(INDEX(Premissas!$C$8:$C$15,MATCH(L194,Premissas!$A$8:$A$15,0)),0))</f>
        <v>0.035</v>
      </c>
      <c r="N194" s="18" t="n">
        <f aca="false">Premissas!$B$4*M194</f>
        <v>3500</v>
      </c>
      <c r="O194" s="18" t="n">
        <f aca="false">N194*K194</f>
        <v>22.4</v>
      </c>
      <c r="P194" s="18" t="n">
        <f aca="false">P193+O194</f>
        <v>12956.7</v>
      </c>
      <c r="Q194" s="11" t="s">
        <v>51</v>
      </c>
    </row>
    <row r="195" customFormat="false" ht="15" hidden="false" customHeight="false" outlineLevel="0" collapsed="false">
      <c r="A195" s="11" t="n">
        <v>194</v>
      </c>
      <c r="B195" s="11" t="s">
        <v>152</v>
      </c>
      <c r="C195" s="11" t="s">
        <v>188</v>
      </c>
      <c r="D195" s="11" t="s">
        <v>160</v>
      </c>
      <c r="E195" s="12"/>
      <c r="F195" s="13" t="n">
        <v>0.7692</v>
      </c>
      <c r="G195" s="14" t="n">
        <v>1.339</v>
      </c>
      <c r="H195" s="15" t="n">
        <v>46114</v>
      </c>
      <c r="I195" s="15" t="n">
        <v>46114</v>
      </c>
      <c r="J195" s="16" t="n">
        <v>0</v>
      </c>
      <c r="K195" s="17" t="n">
        <v>0</v>
      </c>
      <c r="L195" s="11" t="s">
        <v>20</v>
      </c>
      <c r="M195" s="13" t="n">
        <f aca="false">IF(Q195="sim",0,IFERROR(INDEX(Premissas!$C$8:$C$15,MATCH(L195,Premissas!$A$8:$A$15,0)),0))</f>
        <v>0.035</v>
      </c>
      <c r="N195" s="18" t="n">
        <f aca="false">Premissas!$B$4*M195</f>
        <v>3500</v>
      </c>
      <c r="O195" s="18" t="n">
        <f aca="false">N195*K195</f>
        <v>0</v>
      </c>
      <c r="P195" s="18" t="n">
        <f aca="false">P194+O195</f>
        <v>12956.7</v>
      </c>
      <c r="Q195" s="11" t="s">
        <v>51</v>
      </c>
    </row>
    <row r="196" customFormat="false" ht="15" hidden="false" customHeight="false" outlineLevel="0" collapsed="false">
      <c r="A196" s="11" t="n">
        <v>195</v>
      </c>
      <c r="B196" s="11" t="s">
        <v>198</v>
      </c>
      <c r="C196" s="11" t="s">
        <v>188</v>
      </c>
      <c r="D196" s="11" t="s">
        <v>170</v>
      </c>
      <c r="E196" s="12"/>
      <c r="F196" s="13" t="n">
        <v>0.6667</v>
      </c>
      <c r="G196" s="14" t="n">
        <v>1.603</v>
      </c>
      <c r="H196" s="15" t="n">
        <v>46111</v>
      </c>
      <c r="I196" s="15" t="n">
        <v>46114</v>
      </c>
      <c r="J196" s="16" t="n">
        <v>3</v>
      </c>
      <c r="K196" s="17" t="n">
        <v>0.0594</v>
      </c>
      <c r="L196" s="11" t="s">
        <v>10</v>
      </c>
      <c r="M196" s="13" t="n">
        <f aca="false">IF(Q196="sim",0,IFERROR(INDEX(Premissas!$C$8:$C$15,MATCH(L196,Premissas!$A$8:$A$15,0)),0))</f>
        <v>0.1</v>
      </c>
      <c r="N196" s="18" t="n">
        <f aca="false">Premissas!$B$4*M196</f>
        <v>10000</v>
      </c>
      <c r="O196" s="18" t="n">
        <f aca="false">N196*K196</f>
        <v>594</v>
      </c>
      <c r="P196" s="18" t="n">
        <f aca="false">P195+O196</f>
        <v>13550.7</v>
      </c>
      <c r="Q196" s="11" t="s">
        <v>51</v>
      </c>
    </row>
    <row r="197" customFormat="false" ht="15" hidden="false" customHeight="false" outlineLevel="0" collapsed="false">
      <c r="A197" s="11" t="n">
        <v>196</v>
      </c>
      <c r="B197" s="11" t="s">
        <v>199</v>
      </c>
      <c r="C197" s="11" t="s">
        <v>184</v>
      </c>
      <c r="D197" s="11" t="s">
        <v>197</v>
      </c>
      <c r="E197" s="12" t="n">
        <v>67.1</v>
      </c>
      <c r="F197" s="13" t="n">
        <v>0.8889</v>
      </c>
      <c r="G197" s="14" t="n">
        <v>3.562</v>
      </c>
      <c r="H197" s="15" t="n">
        <v>46113</v>
      </c>
      <c r="I197" s="15" t="n">
        <v>46118</v>
      </c>
      <c r="J197" s="16" t="n">
        <v>5</v>
      </c>
      <c r="K197" s="17" t="n">
        <v>0.0557</v>
      </c>
      <c r="L197" s="11" t="s">
        <v>16</v>
      </c>
      <c r="M197" s="13" t="n">
        <f aca="false">IF(Q197="sim",0,IFERROR(INDEX(Premissas!$C$8:$C$15,MATCH(L197,Premissas!$A$8:$A$15,0)),0))</f>
        <v>0.07</v>
      </c>
      <c r="N197" s="18" t="n">
        <f aca="false">Premissas!$B$4*M197</f>
        <v>7000</v>
      </c>
      <c r="O197" s="18" t="n">
        <f aca="false">N197*K197</f>
        <v>389.9</v>
      </c>
      <c r="P197" s="18" t="n">
        <f aca="false">P196+O197</f>
        <v>13940.6</v>
      </c>
      <c r="Q197" s="11" t="s">
        <v>51</v>
      </c>
    </row>
    <row r="198" customFormat="false" ht="15" hidden="false" customHeight="false" outlineLevel="0" collapsed="false">
      <c r="A198" s="11" t="n">
        <v>197</v>
      </c>
      <c r="B198" s="11" t="s">
        <v>200</v>
      </c>
      <c r="C198" s="11" t="s">
        <v>184</v>
      </c>
      <c r="D198" s="11" t="s">
        <v>185</v>
      </c>
      <c r="E198" s="12" t="n">
        <v>53.1</v>
      </c>
      <c r="F198" s="13" t="n">
        <v>0</v>
      </c>
      <c r="G198" s="14"/>
      <c r="H198" s="15" t="n">
        <v>46119</v>
      </c>
      <c r="I198" s="15" t="n">
        <v>46119</v>
      </c>
      <c r="J198" s="16" t="n">
        <v>0</v>
      </c>
      <c r="K198" s="17" t="n">
        <v>0</v>
      </c>
      <c r="L198" s="11" t="s">
        <v>22</v>
      </c>
      <c r="M198" s="13" t="n">
        <f aca="false">IF(Q198="sim",0,IFERROR(INDEX(Premissas!$C$8:$C$15,MATCH(L198,Premissas!$A$8:$A$15,0)),0))</f>
        <v>0</v>
      </c>
      <c r="N198" s="18" t="n">
        <f aca="false">Premissas!$B$4*M198</f>
        <v>0</v>
      </c>
      <c r="O198" s="18" t="n">
        <f aca="false">N198*K198</f>
        <v>0</v>
      </c>
      <c r="P198" s="18" t="n">
        <f aca="false">P197+O198</f>
        <v>13940.6</v>
      </c>
      <c r="Q198" s="11" t="s">
        <v>51</v>
      </c>
    </row>
    <row r="199" customFormat="false" ht="15" hidden="false" customHeight="false" outlineLevel="0" collapsed="false">
      <c r="A199" s="11" t="n">
        <v>198</v>
      </c>
      <c r="B199" s="11" t="s">
        <v>200</v>
      </c>
      <c r="C199" s="11" t="s">
        <v>184</v>
      </c>
      <c r="D199" s="11" t="s">
        <v>185</v>
      </c>
      <c r="E199" s="12" t="n">
        <v>53.1</v>
      </c>
      <c r="F199" s="13" t="n">
        <v>0</v>
      </c>
      <c r="G199" s="14"/>
      <c r="H199" s="15" t="n">
        <v>46119</v>
      </c>
      <c r="I199" s="15" t="n">
        <v>46119</v>
      </c>
      <c r="J199" s="16" t="n">
        <v>0</v>
      </c>
      <c r="K199" s="17" t="n">
        <v>-0.0024</v>
      </c>
      <c r="L199" s="11" t="s">
        <v>22</v>
      </c>
      <c r="M199" s="13" t="n">
        <f aca="false">IF(Q199="sim",0,IFERROR(INDEX(Premissas!$C$8:$C$15,MATCH(L199,Premissas!$A$8:$A$15,0)),0))</f>
        <v>0</v>
      </c>
      <c r="N199" s="18" t="n">
        <f aca="false">Premissas!$B$4*M199</f>
        <v>0</v>
      </c>
      <c r="O199" s="18" t="n">
        <f aca="false">N199*K199</f>
        <v>-0</v>
      </c>
      <c r="P199" s="18" t="n">
        <f aca="false">P198+O199</f>
        <v>13940.6</v>
      </c>
      <c r="Q199" s="11" t="s">
        <v>51</v>
      </c>
    </row>
    <row r="200" customFormat="false" ht="15" hidden="false" customHeight="false" outlineLevel="0" collapsed="false">
      <c r="A200" s="11" t="n">
        <v>199</v>
      </c>
      <c r="B200" s="11" t="s">
        <v>201</v>
      </c>
      <c r="C200" s="11" t="s">
        <v>184</v>
      </c>
      <c r="D200" s="11" t="s">
        <v>185</v>
      </c>
      <c r="E200" s="12" t="n">
        <v>53.1</v>
      </c>
      <c r="F200" s="13" t="n">
        <v>0</v>
      </c>
      <c r="G200" s="14"/>
      <c r="H200" s="15" t="n">
        <v>46119</v>
      </c>
      <c r="I200" s="15" t="n">
        <v>46119</v>
      </c>
      <c r="J200" s="16" t="n">
        <v>0</v>
      </c>
      <c r="K200" s="17" t="n">
        <v>-0.0016</v>
      </c>
      <c r="L200" s="11" t="s">
        <v>22</v>
      </c>
      <c r="M200" s="13" t="n">
        <f aca="false">IF(Q200="sim",0,IFERROR(INDEX(Premissas!$C$8:$C$15,MATCH(L200,Premissas!$A$8:$A$15,0)),0))</f>
        <v>0</v>
      </c>
      <c r="N200" s="18" t="n">
        <f aca="false">Premissas!$B$4*M200</f>
        <v>0</v>
      </c>
      <c r="O200" s="18" t="n">
        <f aca="false">N200*K200</f>
        <v>-0</v>
      </c>
      <c r="P200" s="18" t="n">
        <f aca="false">P199+O200</f>
        <v>13940.6</v>
      </c>
      <c r="Q200" s="11" t="s">
        <v>51</v>
      </c>
    </row>
    <row r="201" customFormat="false" ht="15" hidden="false" customHeight="false" outlineLevel="0" collapsed="false">
      <c r="A201" s="11" t="n">
        <v>200</v>
      </c>
      <c r="B201" s="11" t="s">
        <v>202</v>
      </c>
      <c r="C201" s="11" t="s">
        <v>188</v>
      </c>
      <c r="D201" s="11" t="s">
        <v>170</v>
      </c>
      <c r="E201" s="12"/>
      <c r="F201" s="13" t="n">
        <v>0.6381</v>
      </c>
      <c r="G201" s="14" t="n">
        <v>1.398</v>
      </c>
      <c r="H201" s="15" t="n">
        <v>46114</v>
      </c>
      <c r="I201" s="15" t="n">
        <v>46119</v>
      </c>
      <c r="J201" s="16" t="n">
        <v>5</v>
      </c>
      <c r="K201" s="17" t="n">
        <v>0.0651</v>
      </c>
      <c r="L201" s="11" t="s">
        <v>20</v>
      </c>
      <c r="M201" s="13" t="n">
        <f aca="false">IF(Q201="sim",0,IFERROR(INDEX(Premissas!$C$8:$C$15,MATCH(L201,Premissas!$A$8:$A$15,0)),0))</f>
        <v>0.035</v>
      </c>
      <c r="N201" s="18" t="n">
        <f aca="false">Premissas!$B$4*M201</f>
        <v>3500</v>
      </c>
      <c r="O201" s="18" t="n">
        <f aca="false">N201*K201</f>
        <v>227.85</v>
      </c>
      <c r="P201" s="18" t="n">
        <f aca="false">P200+O201</f>
        <v>14168.45</v>
      </c>
      <c r="Q201" s="11" t="s">
        <v>51</v>
      </c>
    </row>
    <row r="202" customFormat="false" ht="15" hidden="false" customHeight="false" outlineLevel="0" collapsed="false">
      <c r="A202" s="11" t="n">
        <v>201</v>
      </c>
      <c r="B202" s="11" t="s">
        <v>203</v>
      </c>
      <c r="C202" s="11" t="s">
        <v>188</v>
      </c>
      <c r="D202" s="11" t="s">
        <v>170</v>
      </c>
      <c r="E202" s="12"/>
      <c r="F202" s="13" t="n">
        <v>0.6857</v>
      </c>
      <c r="G202" s="14" t="n">
        <v>1.579</v>
      </c>
      <c r="H202" s="15" t="n">
        <v>46112</v>
      </c>
      <c r="I202" s="15" t="n">
        <v>46119</v>
      </c>
      <c r="J202" s="16" t="n">
        <v>7</v>
      </c>
      <c r="K202" s="17" t="n">
        <v>0.0509</v>
      </c>
      <c r="L202" s="11" t="s">
        <v>10</v>
      </c>
      <c r="M202" s="13" t="n">
        <f aca="false">IF(Q202="sim",0,IFERROR(INDEX(Premissas!$C$8:$C$15,MATCH(L202,Premissas!$A$8:$A$15,0)),0))</f>
        <v>0.1</v>
      </c>
      <c r="N202" s="18" t="n">
        <f aca="false">Premissas!$B$4*M202</f>
        <v>10000</v>
      </c>
      <c r="O202" s="18" t="n">
        <f aca="false">N202*K202</f>
        <v>509</v>
      </c>
      <c r="P202" s="18" t="n">
        <f aca="false">P201+O202</f>
        <v>14677.45</v>
      </c>
      <c r="Q202" s="11" t="s">
        <v>51</v>
      </c>
    </row>
    <row r="203" customFormat="false" ht="15" hidden="false" customHeight="false" outlineLevel="0" collapsed="false">
      <c r="A203" s="11" t="n">
        <v>202</v>
      </c>
      <c r="B203" s="11" t="s">
        <v>204</v>
      </c>
      <c r="C203" s="11" t="s">
        <v>188</v>
      </c>
      <c r="D203" s="11" t="s">
        <v>160</v>
      </c>
      <c r="E203" s="12"/>
      <c r="F203" s="13" t="n">
        <v>0.729</v>
      </c>
      <c r="G203" s="14" t="n">
        <v>1.644</v>
      </c>
      <c r="H203" s="15" t="n">
        <v>46118</v>
      </c>
      <c r="I203" s="15" t="n">
        <v>46119</v>
      </c>
      <c r="J203" s="16" t="n">
        <v>1</v>
      </c>
      <c r="K203" s="17" t="n">
        <v>0.0533</v>
      </c>
      <c r="L203" s="11" t="s">
        <v>8</v>
      </c>
      <c r="M203" s="13" t="n">
        <f aca="false">IF(Q203="sim",0,IFERROR(INDEX(Premissas!$C$8:$C$15,MATCH(L203,Premissas!$A$8:$A$15,0)),0))</f>
        <v>0.14</v>
      </c>
      <c r="N203" s="18" t="n">
        <f aca="false">Premissas!$B$4*M203</f>
        <v>14000</v>
      </c>
      <c r="O203" s="18" t="n">
        <f aca="false">N203*K203</f>
        <v>746.2</v>
      </c>
      <c r="P203" s="18" t="n">
        <f aca="false">P202+O203</f>
        <v>15423.65</v>
      </c>
      <c r="Q203" s="11" t="s">
        <v>51</v>
      </c>
    </row>
    <row r="204" customFormat="false" ht="15" hidden="false" customHeight="false" outlineLevel="0" collapsed="false">
      <c r="A204" s="11" t="n">
        <v>203</v>
      </c>
      <c r="B204" s="11" t="s">
        <v>205</v>
      </c>
      <c r="C204" s="11" t="s">
        <v>188</v>
      </c>
      <c r="D204" s="11" t="s">
        <v>170</v>
      </c>
      <c r="E204" s="12"/>
      <c r="F204" s="13" t="n">
        <v>0.6807</v>
      </c>
      <c r="G204" s="14" t="n">
        <v>1.601</v>
      </c>
      <c r="H204" s="15" t="n">
        <v>46120</v>
      </c>
      <c r="I204" s="15" t="n">
        <v>46120</v>
      </c>
      <c r="J204" s="16" t="n">
        <v>0</v>
      </c>
      <c r="K204" s="17" t="n">
        <v>0</v>
      </c>
      <c r="L204" s="11" t="s">
        <v>10</v>
      </c>
      <c r="M204" s="13" t="n">
        <f aca="false">IF(Q204="sim",0,IFERROR(INDEX(Premissas!$C$8:$C$15,MATCH(L204,Premissas!$A$8:$A$15,0)),0))</f>
        <v>0.1</v>
      </c>
      <c r="N204" s="18" t="n">
        <f aca="false">Premissas!$B$4*M204</f>
        <v>10000</v>
      </c>
      <c r="O204" s="18" t="n">
        <f aca="false">N204*K204</f>
        <v>0</v>
      </c>
      <c r="P204" s="18" t="n">
        <f aca="false">P203+O204</f>
        <v>15423.65</v>
      </c>
      <c r="Q204" s="11" t="s">
        <v>51</v>
      </c>
    </row>
    <row r="205" customFormat="false" ht="15" hidden="false" customHeight="false" outlineLevel="0" collapsed="false">
      <c r="A205" s="11" t="n">
        <v>204</v>
      </c>
      <c r="B205" s="11" t="s">
        <v>206</v>
      </c>
      <c r="C205" s="11" t="s">
        <v>188</v>
      </c>
      <c r="D205" s="11" t="s">
        <v>170</v>
      </c>
      <c r="E205" s="12"/>
      <c r="F205" s="13" t="n">
        <v>0.625</v>
      </c>
      <c r="G205" s="14" t="n">
        <v>1.361</v>
      </c>
      <c r="H205" s="15" t="n">
        <v>46113</v>
      </c>
      <c r="I205" s="15" t="n">
        <v>46120</v>
      </c>
      <c r="J205" s="16" t="n">
        <v>7</v>
      </c>
      <c r="K205" s="17" t="n">
        <v>0.0917</v>
      </c>
      <c r="L205" s="11" t="s">
        <v>20</v>
      </c>
      <c r="M205" s="13" t="n">
        <f aca="false">IF(Q205="sim",0,IFERROR(INDEX(Premissas!$C$8:$C$15,MATCH(L205,Premissas!$A$8:$A$15,0)),0))</f>
        <v>0.035</v>
      </c>
      <c r="N205" s="18" t="n">
        <f aca="false">Premissas!$B$4*M205</f>
        <v>3500</v>
      </c>
      <c r="O205" s="18" t="n">
        <f aca="false">N205*K205</f>
        <v>320.95</v>
      </c>
      <c r="P205" s="18" t="n">
        <f aca="false">P204+O205</f>
        <v>15744.6</v>
      </c>
      <c r="Q205" s="11" t="s">
        <v>51</v>
      </c>
    </row>
    <row r="206" customFormat="false" ht="15" hidden="false" customHeight="false" outlineLevel="0" collapsed="false">
      <c r="A206" s="11" t="n">
        <v>205</v>
      </c>
      <c r="B206" s="11" t="s">
        <v>192</v>
      </c>
      <c r="C206" s="11" t="s">
        <v>188</v>
      </c>
      <c r="D206" s="11" t="s">
        <v>160</v>
      </c>
      <c r="E206" s="12"/>
      <c r="F206" s="13" t="n">
        <v>0.7394</v>
      </c>
      <c r="G206" s="14" t="n">
        <v>1.563</v>
      </c>
      <c r="H206" s="15" t="n">
        <v>46114</v>
      </c>
      <c r="I206" s="15" t="n">
        <v>46120</v>
      </c>
      <c r="J206" s="16" t="n">
        <v>6</v>
      </c>
      <c r="K206" s="17" t="n">
        <v>0.0863</v>
      </c>
      <c r="L206" s="11" t="s">
        <v>8</v>
      </c>
      <c r="M206" s="13" t="n">
        <f aca="false">IF(Q206="sim",0,IFERROR(INDEX(Premissas!$C$8:$C$15,MATCH(L206,Premissas!$A$8:$A$15,0)),0))</f>
        <v>0.14</v>
      </c>
      <c r="N206" s="18" t="n">
        <f aca="false">Premissas!$B$4*M206</f>
        <v>14000</v>
      </c>
      <c r="O206" s="18" t="n">
        <f aca="false">N206*K206</f>
        <v>1208.2</v>
      </c>
      <c r="P206" s="18" t="n">
        <f aca="false">P205+O206</f>
        <v>16952.8</v>
      </c>
      <c r="Q206" s="11" t="s">
        <v>51</v>
      </c>
    </row>
    <row r="207" customFormat="false" ht="15" hidden="false" customHeight="false" outlineLevel="0" collapsed="false">
      <c r="A207" s="11" t="n">
        <v>206</v>
      </c>
      <c r="B207" s="11" t="s">
        <v>206</v>
      </c>
      <c r="C207" s="11" t="s">
        <v>188</v>
      </c>
      <c r="D207" s="11" t="s">
        <v>170</v>
      </c>
      <c r="E207" s="12"/>
      <c r="F207" s="13" t="n">
        <v>0.625</v>
      </c>
      <c r="G207" s="14" t="n">
        <v>1.361</v>
      </c>
      <c r="H207" s="15" t="n">
        <v>46113</v>
      </c>
      <c r="I207" s="15" t="n">
        <v>46120</v>
      </c>
      <c r="J207" s="16" t="n">
        <v>7</v>
      </c>
      <c r="K207" s="17" t="n">
        <v>0.0917</v>
      </c>
      <c r="L207" s="11" t="s">
        <v>20</v>
      </c>
      <c r="M207" s="13" t="n">
        <f aca="false">IF(Q207="sim",0,IFERROR(INDEX(Premissas!$C$8:$C$15,MATCH(L207,Premissas!$A$8:$A$15,0)),0))</f>
        <v>0.035</v>
      </c>
      <c r="N207" s="18" t="n">
        <f aca="false">Premissas!$B$4*M207</f>
        <v>3500</v>
      </c>
      <c r="O207" s="18" t="n">
        <f aca="false">N207*K207</f>
        <v>320.95</v>
      </c>
      <c r="P207" s="18" t="n">
        <f aca="false">P206+O207</f>
        <v>17273.75</v>
      </c>
      <c r="Q207" s="11" t="s">
        <v>51</v>
      </c>
    </row>
    <row r="208" customFormat="false" ht="15" hidden="false" customHeight="false" outlineLevel="0" collapsed="false">
      <c r="A208" s="11" t="n">
        <v>207</v>
      </c>
      <c r="B208" s="11" t="s">
        <v>192</v>
      </c>
      <c r="C208" s="11" t="s">
        <v>188</v>
      </c>
      <c r="D208" s="11" t="s">
        <v>160</v>
      </c>
      <c r="E208" s="12"/>
      <c r="F208" s="13" t="n">
        <v>0.7394</v>
      </c>
      <c r="G208" s="14" t="n">
        <v>1.563</v>
      </c>
      <c r="H208" s="15" t="n">
        <v>46114</v>
      </c>
      <c r="I208" s="15" t="n">
        <v>46120</v>
      </c>
      <c r="J208" s="16" t="n">
        <v>6</v>
      </c>
      <c r="K208" s="17" t="n">
        <v>0.0863</v>
      </c>
      <c r="L208" s="11" t="s">
        <v>8</v>
      </c>
      <c r="M208" s="13" t="n">
        <f aca="false">IF(Q208="sim",0,IFERROR(INDEX(Premissas!$C$8:$C$15,MATCH(L208,Premissas!$A$8:$A$15,0)),0))</f>
        <v>0.14</v>
      </c>
      <c r="N208" s="18" t="n">
        <f aca="false">Premissas!$B$4*M208</f>
        <v>14000</v>
      </c>
      <c r="O208" s="18" t="n">
        <f aca="false">N208*K208</f>
        <v>1208.2</v>
      </c>
      <c r="P208" s="18" t="n">
        <f aca="false">P207+O208</f>
        <v>18481.95</v>
      </c>
      <c r="Q208" s="11" t="s">
        <v>51</v>
      </c>
    </row>
    <row r="209" customFormat="false" ht="15" hidden="false" customHeight="false" outlineLevel="0" collapsed="false">
      <c r="A209" s="11" t="n">
        <v>208</v>
      </c>
      <c r="B209" s="11" t="s">
        <v>207</v>
      </c>
      <c r="C209" s="11" t="s">
        <v>184</v>
      </c>
      <c r="D209" s="11" t="s">
        <v>197</v>
      </c>
      <c r="E209" s="12" t="n">
        <v>68.1</v>
      </c>
      <c r="F209" s="13" t="n">
        <v>0.6</v>
      </c>
      <c r="G209" s="14"/>
      <c r="H209" s="15" t="n">
        <v>46099</v>
      </c>
      <c r="I209" s="15" t="n">
        <v>46122</v>
      </c>
      <c r="J209" s="16" t="n">
        <v>23</v>
      </c>
      <c r="K209" s="17" t="n">
        <v>0.0586</v>
      </c>
      <c r="L209" s="11" t="s">
        <v>20</v>
      </c>
      <c r="M209" s="13" t="n">
        <f aca="false">IF(Q209="sim",0,IFERROR(INDEX(Premissas!$C$8:$C$15,MATCH(L209,Premissas!$A$8:$A$15,0)),0))</f>
        <v>0.035</v>
      </c>
      <c r="N209" s="18" t="n">
        <f aca="false">Premissas!$B$4*M209</f>
        <v>3500</v>
      </c>
      <c r="O209" s="18" t="n">
        <f aca="false">N209*K209</f>
        <v>205.1</v>
      </c>
      <c r="P209" s="18" t="n">
        <f aca="false">P208+O209</f>
        <v>18687.05</v>
      </c>
      <c r="Q209" s="11" t="s">
        <v>51</v>
      </c>
    </row>
    <row r="210" customFormat="false" ht="15" hidden="false" customHeight="false" outlineLevel="0" collapsed="false">
      <c r="A210" s="11" t="n">
        <v>209</v>
      </c>
      <c r="B210" s="11" t="s">
        <v>208</v>
      </c>
      <c r="C210" s="11" t="s">
        <v>184</v>
      </c>
      <c r="D210" s="11" t="s">
        <v>185</v>
      </c>
      <c r="E210" s="12" t="n">
        <v>54.1</v>
      </c>
      <c r="F210" s="13" t="n">
        <v>0.3</v>
      </c>
      <c r="G210" s="14" t="n">
        <v>1.727</v>
      </c>
      <c r="H210" s="15" t="n">
        <v>46092</v>
      </c>
      <c r="I210" s="15" t="n">
        <v>46130</v>
      </c>
      <c r="J210" s="16" t="n">
        <v>38</v>
      </c>
      <c r="K210" s="17" t="n">
        <v>0.0554</v>
      </c>
      <c r="L210" s="11" t="s">
        <v>22</v>
      </c>
      <c r="M210" s="13" t="n">
        <f aca="false">IF(Q210="sim",0,IFERROR(INDEX(Premissas!$C$8:$C$15,MATCH(L210,Premissas!$A$8:$A$15,0)),0))</f>
        <v>0</v>
      </c>
      <c r="N210" s="18" t="n">
        <f aca="false">Premissas!$B$4*M210</f>
        <v>0</v>
      </c>
      <c r="O210" s="18" t="n">
        <f aca="false">N210*K210</f>
        <v>0</v>
      </c>
      <c r="P210" s="18" t="n">
        <f aca="false">P209+O210</f>
        <v>18687.05</v>
      </c>
      <c r="Q210" s="11" t="s">
        <v>51</v>
      </c>
    </row>
    <row r="211" customFormat="false" ht="15" hidden="false" customHeight="false" outlineLevel="0" collapsed="false">
      <c r="A211" s="11" t="n">
        <v>210</v>
      </c>
      <c r="B211" s="11" t="s">
        <v>209</v>
      </c>
      <c r="C211" s="11" t="s">
        <v>188</v>
      </c>
      <c r="D211" s="11" t="s">
        <v>170</v>
      </c>
      <c r="E211" s="12"/>
      <c r="F211" s="13" t="n">
        <v>0.6864</v>
      </c>
      <c r="G211" s="14" t="n">
        <v>1.559</v>
      </c>
      <c r="H211" s="15" t="n">
        <v>46129</v>
      </c>
      <c r="I211" s="15" t="n">
        <v>46133</v>
      </c>
      <c r="J211" s="16" t="n">
        <v>4</v>
      </c>
      <c r="K211" s="17" t="n">
        <v>0.0505</v>
      </c>
      <c r="L211" s="11" t="s">
        <v>10</v>
      </c>
      <c r="M211" s="13" t="n">
        <f aca="false">IF(Q211="sim",0,IFERROR(INDEX(Premissas!$C$8:$C$15,MATCH(L211,Premissas!$A$8:$A$15,0)),0))</f>
        <v>0.1</v>
      </c>
      <c r="N211" s="18" t="n">
        <f aca="false">Premissas!$B$4*M211</f>
        <v>10000</v>
      </c>
      <c r="O211" s="18" t="n">
        <f aca="false">N211*K211</f>
        <v>505</v>
      </c>
      <c r="P211" s="18" t="n">
        <f aca="false">P210+O211</f>
        <v>19192.05</v>
      </c>
      <c r="Q211" s="11" t="s">
        <v>51</v>
      </c>
    </row>
    <row r="212" customFormat="false" ht="15" hidden="false" customHeight="false" outlineLevel="0" collapsed="false">
      <c r="A212" s="11" t="n">
        <v>211</v>
      </c>
      <c r="B212" s="11" t="s">
        <v>210</v>
      </c>
      <c r="C212" s="11" t="s">
        <v>184</v>
      </c>
      <c r="D212" s="11" t="s">
        <v>191</v>
      </c>
      <c r="E212" s="12" t="n">
        <v>95.1</v>
      </c>
      <c r="F212" s="13" t="n">
        <v>0.9</v>
      </c>
      <c r="G212" s="14" t="n">
        <v>2.868</v>
      </c>
      <c r="H212" s="15" t="n">
        <v>46135</v>
      </c>
      <c r="I212" s="15" t="n">
        <v>46139</v>
      </c>
      <c r="J212" s="16" t="n">
        <v>4</v>
      </c>
      <c r="K212" s="17" t="n">
        <v>0.0791</v>
      </c>
      <c r="L212" s="11" t="s">
        <v>18</v>
      </c>
      <c r="M212" s="13" t="n">
        <f aca="false">IF(Q212="sim",0,IFERROR(INDEX(Premissas!$C$8:$C$15,MATCH(L212,Premissas!$A$8:$A$15,0)),0))</f>
        <v>0.06</v>
      </c>
      <c r="N212" s="18" t="n">
        <f aca="false">Premissas!$B$4*M212</f>
        <v>6000</v>
      </c>
      <c r="O212" s="18" t="n">
        <f aca="false">N212*K212</f>
        <v>474.6</v>
      </c>
      <c r="P212" s="18" t="n">
        <f aca="false">P211+O212</f>
        <v>19666.65</v>
      </c>
      <c r="Q212" s="11" t="s">
        <v>51</v>
      </c>
    </row>
    <row r="213" customFormat="false" ht="15" hidden="false" customHeight="false" outlineLevel="0" collapsed="false">
      <c r="A213" s="11" t="n">
        <v>212</v>
      </c>
      <c r="B213" s="11" t="s">
        <v>211</v>
      </c>
      <c r="C213" s="11" t="s">
        <v>188</v>
      </c>
      <c r="D213" s="11" t="s">
        <v>170</v>
      </c>
      <c r="E213" s="12"/>
      <c r="F213" s="13" t="n">
        <v>0.6068</v>
      </c>
      <c r="G213" s="14" t="n">
        <v>1.605</v>
      </c>
      <c r="H213" s="15" t="n">
        <v>46135</v>
      </c>
      <c r="I213" s="15" t="n">
        <v>46140</v>
      </c>
      <c r="J213" s="16" t="n">
        <v>5</v>
      </c>
      <c r="K213" s="17" t="n">
        <v>0.0502</v>
      </c>
      <c r="L213" s="11" t="s">
        <v>10</v>
      </c>
      <c r="M213" s="13" t="n">
        <f aca="false">IF(Q213="sim",0,IFERROR(INDEX(Premissas!$C$8:$C$15,MATCH(L213,Premissas!$A$8:$A$15,0)),0))</f>
        <v>0.1</v>
      </c>
      <c r="N213" s="18" t="n">
        <f aca="false">Premissas!$B$4*M213</f>
        <v>10000</v>
      </c>
      <c r="O213" s="18" t="n">
        <f aca="false">N213*K213</f>
        <v>502</v>
      </c>
      <c r="P213" s="18" t="n">
        <f aca="false">P212+O213</f>
        <v>20168.65</v>
      </c>
      <c r="Q213" s="11" t="s">
        <v>51</v>
      </c>
    </row>
    <row r="214" customFormat="false" ht="15" hidden="false" customHeight="false" outlineLevel="0" collapsed="false">
      <c r="A214" s="11" t="n">
        <v>213</v>
      </c>
      <c r="B214" s="11" t="s">
        <v>212</v>
      </c>
      <c r="C214" s="11" t="s">
        <v>184</v>
      </c>
      <c r="D214" s="11" t="s">
        <v>191</v>
      </c>
      <c r="E214" s="12" t="n">
        <v>75.1</v>
      </c>
      <c r="F214" s="13" t="n">
        <v>0.8</v>
      </c>
      <c r="G214" s="14" t="n">
        <v>2.108</v>
      </c>
      <c r="H214" s="15" t="n">
        <v>46135</v>
      </c>
      <c r="I214" s="15" t="n">
        <v>46143</v>
      </c>
      <c r="J214" s="16" t="n">
        <v>8</v>
      </c>
      <c r="K214" s="17" t="n">
        <v>0.1738</v>
      </c>
      <c r="L214" s="11" t="s">
        <v>20</v>
      </c>
      <c r="M214" s="13" t="n">
        <f aca="false">IF(Q214="sim",0,IFERROR(INDEX(Premissas!$C$8:$C$15,MATCH(L214,Premissas!$A$8:$A$15,0)),0))</f>
        <v>0.035</v>
      </c>
      <c r="N214" s="18" t="n">
        <f aca="false">Premissas!$B$4*M214</f>
        <v>3500</v>
      </c>
      <c r="O214" s="18" t="n">
        <f aca="false">N214*K214</f>
        <v>608.3</v>
      </c>
      <c r="P214" s="18" t="n">
        <f aca="false">P213+O214</f>
        <v>20776.95</v>
      </c>
      <c r="Q214" s="11" t="s">
        <v>51</v>
      </c>
    </row>
    <row r="215" customFormat="false" ht="15" hidden="false" customHeight="false" outlineLevel="0" collapsed="false">
      <c r="A215" s="11" t="n">
        <v>214</v>
      </c>
      <c r="B215" s="11" t="s">
        <v>213</v>
      </c>
      <c r="C215" s="11" t="s">
        <v>188</v>
      </c>
      <c r="D215" s="11" t="s">
        <v>170</v>
      </c>
      <c r="E215" s="12"/>
      <c r="F215" s="13" t="n">
        <v>0.662</v>
      </c>
      <c r="G215" s="14" t="n">
        <v>1.53</v>
      </c>
      <c r="H215" s="15" t="n">
        <v>46142</v>
      </c>
      <c r="I215" s="15" t="n">
        <v>46144</v>
      </c>
      <c r="J215" s="16" t="n">
        <v>2</v>
      </c>
      <c r="K215" s="17" t="n">
        <v>0.069</v>
      </c>
      <c r="L215" s="11" t="s">
        <v>10</v>
      </c>
      <c r="M215" s="13" t="n">
        <f aca="false">IF(Q215="sim",0,IFERROR(INDEX(Premissas!$C$8:$C$15,MATCH(L215,Premissas!$A$8:$A$15,0)),0))</f>
        <v>0.1</v>
      </c>
      <c r="N215" s="18" t="n">
        <f aca="false">Premissas!$B$4*M215</f>
        <v>10000</v>
      </c>
      <c r="O215" s="18" t="n">
        <f aca="false">N215*K215</f>
        <v>690</v>
      </c>
      <c r="P215" s="18" t="n">
        <f aca="false">P214+O215</f>
        <v>21466.95</v>
      </c>
      <c r="Q215" s="11" t="s">
        <v>51</v>
      </c>
    </row>
    <row r="216" customFormat="false" ht="15" hidden="false" customHeight="false" outlineLevel="0" collapsed="false">
      <c r="A216" s="11" t="n">
        <v>215</v>
      </c>
      <c r="B216" s="11" t="s">
        <v>132</v>
      </c>
      <c r="C216" s="11" t="s">
        <v>188</v>
      </c>
      <c r="D216" s="11" t="s">
        <v>160</v>
      </c>
      <c r="E216" s="12"/>
      <c r="F216" s="13" t="n">
        <v>0.7031</v>
      </c>
      <c r="G216" s="14" t="n">
        <v>1.626</v>
      </c>
      <c r="H216" s="15" t="n">
        <v>46143</v>
      </c>
      <c r="I216" s="15" t="n">
        <v>46147</v>
      </c>
      <c r="J216" s="16" t="n">
        <v>4</v>
      </c>
      <c r="K216" s="17" t="n">
        <v>0.0601</v>
      </c>
      <c r="L216" s="11" t="s">
        <v>8</v>
      </c>
      <c r="M216" s="13" t="n">
        <f aca="false">IF(Q216="sim",0,IFERROR(INDEX(Premissas!$C$8:$C$15,MATCH(L216,Premissas!$A$8:$A$15,0)),0))</f>
        <v>0.14</v>
      </c>
      <c r="N216" s="18" t="n">
        <f aca="false">Premissas!$B$4*M216</f>
        <v>14000</v>
      </c>
      <c r="O216" s="18" t="n">
        <f aca="false">N216*K216</f>
        <v>841.4</v>
      </c>
      <c r="P216" s="18" t="n">
        <f aca="false">P215+O216</f>
        <v>22308.35</v>
      </c>
      <c r="Q216" s="11" t="s">
        <v>51</v>
      </c>
    </row>
    <row r="217" customFormat="false" ht="15" hidden="false" customHeight="false" outlineLevel="0" collapsed="false">
      <c r="A217" s="11" t="n">
        <v>216</v>
      </c>
      <c r="B217" s="11" t="s">
        <v>148</v>
      </c>
      <c r="C217" s="11" t="s">
        <v>188</v>
      </c>
      <c r="D217" s="11" t="s">
        <v>160</v>
      </c>
      <c r="E217" s="12"/>
      <c r="F217" s="13" t="n">
        <v>0.7297</v>
      </c>
      <c r="G217" s="14" t="n">
        <v>1.39</v>
      </c>
      <c r="H217" s="15" t="n">
        <v>46142</v>
      </c>
      <c r="I217" s="15" t="n">
        <v>46147</v>
      </c>
      <c r="J217" s="16" t="n">
        <v>5</v>
      </c>
      <c r="K217" s="17" t="n">
        <v>0.0615</v>
      </c>
      <c r="L217" s="11" t="s">
        <v>20</v>
      </c>
      <c r="M217" s="13" t="n">
        <f aca="false">IF(Q217="sim",0,IFERROR(INDEX(Premissas!$C$8:$C$15,MATCH(L217,Premissas!$A$8:$A$15,0)),0))</f>
        <v>0.035</v>
      </c>
      <c r="N217" s="18" t="n">
        <f aca="false">Premissas!$B$4*M217</f>
        <v>3500</v>
      </c>
      <c r="O217" s="18" t="n">
        <f aca="false">N217*K217</f>
        <v>215.25</v>
      </c>
      <c r="P217" s="18" t="n">
        <f aca="false">P216+O217</f>
        <v>22523.6</v>
      </c>
      <c r="Q217" s="11" t="s">
        <v>51</v>
      </c>
    </row>
    <row r="218" customFormat="false" ht="15" hidden="false" customHeight="false" outlineLevel="0" collapsed="false">
      <c r="A218" s="11" t="n">
        <v>217</v>
      </c>
      <c r="B218" s="11" t="s">
        <v>214</v>
      </c>
      <c r="C218" s="11" t="s">
        <v>188</v>
      </c>
      <c r="D218" s="11" t="s">
        <v>170</v>
      </c>
      <c r="E218" s="12"/>
      <c r="F218" s="13" t="n">
        <v>0.6433</v>
      </c>
      <c r="G218" s="14" t="n">
        <v>1.487</v>
      </c>
      <c r="H218" s="15" t="n">
        <v>46143</v>
      </c>
      <c r="I218" s="15" t="n">
        <v>46148</v>
      </c>
      <c r="J218" s="16" t="n">
        <v>5</v>
      </c>
      <c r="K218" s="17" t="n">
        <v>0.0728</v>
      </c>
      <c r="L218" s="11" t="s">
        <v>10</v>
      </c>
      <c r="M218" s="13" t="n">
        <f aca="false">IF(Q218="sim",0,IFERROR(INDEX(Premissas!$C$8:$C$15,MATCH(L218,Premissas!$A$8:$A$15,0)),0))</f>
        <v>0.1</v>
      </c>
      <c r="N218" s="18" t="n">
        <f aca="false">Premissas!$B$4*M218</f>
        <v>10000</v>
      </c>
      <c r="O218" s="18" t="n">
        <f aca="false">N218*K218</f>
        <v>728</v>
      </c>
      <c r="P218" s="18" t="n">
        <f aca="false">P217+O218</f>
        <v>23251.6</v>
      </c>
      <c r="Q218" s="11" t="s">
        <v>51</v>
      </c>
    </row>
    <row r="219" customFormat="false" ht="15" hidden="false" customHeight="false" outlineLevel="0" collapsed="false">
      <c r="A219" s="11" t="n">
        <v>218</v>
      </c>
      <c r="B219" s="11" t="s">
        <v>215</v>
      </c>
      <c r="C219" s="11" t="s">
        <v>188</v>
      </c>
      <c r="D219" s="11" t="s">
        <v>170</v>
      </c>
      <c r="E219" s="12"/>
      <c r="F219" s="13" t="n">
        <v>0.6977</v>
      </c>
      <c r="G219" s="14" t="n">
        <v>1.492</v>
      </c>
      <c r="H219" s="15" t="n">
        <v>46146</v>
      </c>
      <c r="I219" s="15" t="n">
        <v>46148</v>
      </c>
      <c r="J219" s="16" t="n">
        <v>2</v>
      </c>
      <c r="K219" s="17" t="n">
        <v>0.0517</v>
      </c>
      <c r="L219" s="11" t="s">
        <v>10</v>
      </c>
      <c r="M219" s="13" t="n">
        <f aca="false">IF(Q219="sim",0,IFERROR(INDEX(Premissas!$C$8:$C$15,MATCH(L219,Premissas!$A$8:$A$15,0)),0))</f>
        <v>0.1</v>
      </c>
      <c r="N219" s="18" t="n">
        <f aca="false">Premissas!$B$4*M219</f>
        <v>10000</v>
      </c>
      <c r="O219" s="18" t="n">
        <f aca="false">N219*K219</f>
        <v>517</v>
      </c>
      <c r="P219" s="18" t="n">
        <f aca="false">P218+O219</f>
        <v>23768.6</v>
      </c>
      <c r="Q219" s="11" t="s">
        <v>51</v>
      </c>
    </row>
    <row r="220" customFormat="false" ht="15" hidden="false" customHeight="false" outlineLevel="0" collapsed="false">
      <c r="A220" s="11" t="n">
        <v>219</v>
      </c>
      <c r="B220" s="11" t="s">
        <v>81</v>
      </c>
      <c r="C220" s="11" t="s">
        <v>188</v>
      </c>
      <c r="D220" s="11" t="s">
        <v>170</v>
      </c>
      <c r="E220" s="12"/>
      <c r="F220" s="13" t="n">
        <v>0.6011</v>
      </c>
      <c r="G220" s="14" t="n">
        <v>1.571</v>
      </c>
      <c r="H220" s="15" t="n">
        <v>46143</v>
      </c>
      <c r="I220" s="15" t="n">
        <v>46148</v>
      </c>
      <c r="J220" s="16" t="n">
        <v>5</v>
      </c>
      <c r="K220" s="17" t="n">
        <v>0.0511</v>
      </c>
      <c r="L220" s="11" t="s">
        <v>10</v>
      </c>
      <c r="M220" s="13" t="n">
        <f aca="false">IF(Q220="sim",0,IFERROR(INDEX(Premissas!$C$8:$C$15,MATCH(L220,Premissas!$A$8:$A$15,0)),0))</f>
        <v>0.1</v>
      </c>
      <c r="N220" s="18" t="n">
        <f aca="false">Premissas!$B$4*M220</f>
        <v>10000</v>
      </c>
      <c r="O220" s="18" t="n">
        <f aca="false">N220*K220</f>
        <v>511</v>
      </c>
      <c r="P220" s="18" t="n">
        <f aca="false">P219+O220</f>
        <v>24279.6</v>
      </c>
      <c r="Q220" s="11" t="s">
        <v>51</v>
      </c>
    </row>
    <row r="221" customFormat="false" ht="15" hidden="false" customHeight="false" outlineLevel="0" collapsed="false">
      <c r="A221" s="11" t="n">
        <v>220</v>
      </c>
      <c r="B221" s="11" t="s">
        <v>216</v>
      </c>
      <c r="C221" s="11" t="s">
        <v>184</v>
      </c>
      <c r="D221" s="11" t="s">
        <v>197</v>
      </c>
      <c r="E221" s="12" t="n">
        <v>66.1</v>
      </c>
      <c r="F221" s="13" t="n">
        <v>0.8</v>
      </c>
      <c r="G221" s="14" t="n">
        <v>1.724</v>
      </c>
      <c r="H221" s="15" t="n">
        <v>46147</v>
      </c>
      <c r="I221" s="15" t="n">
        <v>46148</v>
      </c>
      <c r="J221" s="16" t="n">
        <v>1</v>
      </c>
      <c r="K221" s="17" t="n">
        <v>0.0509</v>
      </c>
      <c r="L221" s="11" t="s">
        <v>16</v>
      </c>
      <c r="M221" s="13" t="n">
        <f aca="false">IF(Q221="sim",0,IFERROR(INDEX(Premissas!$C$8:$C$15,MATCH(L221,Premissas!$A$8:$A$15,0)),0))</f>
        <v>0.07</v>
      </c>
      <c r="N221" s="18" t="n">
        <f aca="false">Premissas!$B$4*M221</f>
        <v>7000</v>
      </c>
      <c r="O221" s="18" t="n">
        <f aca="false">N221*K221</f>
        <v>356.3</v>
      </c>
      <c r="P221" s="18" t="n">
        <f aca="false">P220+O221</f>
        <v>24635.9</v>
      </c>
      <c r="Q221" s="11" t="s">
        <v>51</v>
      </c>
    </row>
    <row r="222" customFormat="false" ht="15" hidden="false" customHeight="false" outlineLevel="0" collapsed="false">
      <c r="A222" s="11" t="n">
        <v>221</v>
      </c>
      <c r="B222" s="11" t="s">
        <v>217</v>
      </c>
      <c r="C222" s="11" t="s">
        <v>184</v>
      </c>
      <c r="D222" s="11" t="s">
        <v>218</v>
      </c>
      <c r="E222" s="12" t="n">
        <v>62.1</v>
      </c>
      <c r="F222" s="13" t="n">
        <v>0.9</v>
      </c>
      <c r="G222" s="14" t="n">
        <v>0.727</v>
      </c>
      <c r="H222" s="15" t="n">
        <v>46148</v>
      </c>
      <c r="I222" s="15" t="n">
        <v>46149</v>
      </c>
      <c r="J222" s="16" t="n">
        <v>1</v>
      </c>
      <c r="K222" s="17" t="n">
        <v>-0.0769</v>
      </c>
      <c r="L222" s="11" t="s">
        <v>22</v>
      </c>
      <c r="M222" s="13" t="n">
        <f aca="false">IF(Q222="sim",0,IFERROR(INDEX(Premissas!$C$8:$C$15,MATCH(L222,Premissas!$A$8:$A$15,0)),0))</f>
        <v>0</v>
      </c>
      <c r="N222" s="18" t="n">
        <f aca="false">Premissas!$B$4*M222</f>
        <v>0</v>
      </c>
      <c r="O222" s="18" t="n">
        <f aca="false">N222*K222</f>
        <v>-0</v>
      </c>
      <c r="P222" s="18" t="n">
        <f aca="false">P221+O222</f>
        <v>24635.9</v>
      </c>
      <c r="Q222" s="11" t="s">
        <v>51</v>
      </c>
    </row>
    <row r="223" customFormat="false" ht="15" hidden="false" customHeight="false" outlineLevel="0" collapsed="false">
      <c r="A223" s="11" t="n">
        <v>222</v>
      </c>
      <c r="B223" s="11" t="s">
        <v>219</v>
      </c>
      <c r="C223" s="11" t="s">
        <v>188</v>
      </c>
      <c r="D223" s="11" t="s">
        <v>160</v>
      </c>
      <c r="E223" s="12"/>
      <c r="F223" s="13" t="n">
        <v>0.75</v>
      </c>
      <c r="G223" s="14" t="n">
        <v>1.689</v>
      </c>
      <c r="H223" s="15" t="n">
        <v>46146</v>
      </c>
      <c r="I223" s="15" t="n">
        <v>46149</v>
      </c>
      <c r="J223" s="16" t="n">
        <v>3</v>
      </c>
      <c r="K223" s="17" t="n">
        <v>0.0554</v>
      </c>
      <c r="L223" s="11" t="s">
        <v>8</v>
      </c>
      <c r="M223" s="13" t="n">
        <f aca="false">IF(Q223="sim",0,IFERROR(INDEX(Premissas!$C$8:$C$15,MATCH(L223,Premissas!$A$8:$A$15,0)),0))</f>
        <v>0.14</v>
      </c>
      <c r="N223" s="18" t="n">
        <f aca="false">Premissas!$B$4*M223</f>
        <v>14000</v>
      </c>
      <c r="O223" s="18" t="n">
        <f aca="false">N223*K223</f>
        <v>775.6</v>
      </c>
      <c r="P223" s="18" t="n">
        <f aca="false">P222+O223</f>
        <v>25411.5</v>
      </c>
      <c r="Q223" s="11" t="s">
        <v>51</v>
      </c>
    </row>
    <row r="224" customFormat="false" ht="15" hidden="false" customHeight="false" outlineLevel="0" collapsed="false">
      <c r="A224" s="11" t="n">
        <v>223</v>
      </c>
      <c r="B224" s="11" t="s">
        <v>220</v>
      </c>
      <c r="C224" s="11" t="s">
        <v>184</v>
      </c>
      <c r="D224" s="11" t="s">
        <v>185</v>
      </c>
      <c r="E224" s="12" t="n">
        <v>55.1</v>
      </c>
      <c r="F224" s="13" t="n">
        <v>0.8</v>
      </c>
      <c r="G224" s="14" t="n">
        <v>1.217</v>
      </c>
      <c r="H224" s="15" t="n">
        <v>46147</v>
      </c>
      <c r="I224" s="15" t="n">
        <v>46149</v>
      </c>
      <c r="J224" s="16" t="n">
        <v>2</v>
      </c>
      <c r="K224" s="17" t="n">
        <v>0.0542</v>
      </c>
      <c r="L224" s="11" t="s">
        <v>22</v>
      </c>
      <c r="M224" s="13" t="n">
        <f aca="false">IF(Q224="sim",0,IFERROR(INDEX(Premissas!$C$8:$C$15,MATCH(L224,Premissas!$A$8:$A$15,0)),0))</f>
        <v>0</v>
      </c>
      <c r="N224" s="18" t="n">
        <f aca="false">Premissas!$B$4*M224</f>
        <v>0</v>
      </c>
      <c r="O224" s="18" t="n">
        <f aca="false">N224*K224</f>
        <v>0</v>
      </c>
      <c r="P224" s="18" t="n">
        <f aca="false">P223+O224</f>
        <v>25411.5</v>
      </c>
      <c r="Q224" s="11" t="s">
        <v>51</v>
      </c>
    </row>
    <row r="225" customFormat="false" ht="15" hidden="false" customHeight="false" outlineLevel="0" collapsed="false">
      <c r="A225" s="11" t="n">
        <v>224</v>
      </c>
      <c r="B225" s="11" t="s">
        <v>221</v>
      </c>
      <c r="C225" s="11" t="s">
        <v>184</v>
      </c>
      <c r="D225" s="11" t="s">
        <v>218</v>
      </c>
      <c r="E225" s="12" t="n">
        <v>62.1</v>
      </c>
      <c r="F225" s="13" t="n">
        <v>0.9</v>
      </c>
      <c r="G225" s="14" t="n">
        <v>0.672</v>
      </c>
      <c r="H225" s="15" t="n">
        <v>46148</v>
      </c>
      <c r="I225" s="15" t="n">
        <v>46151</v>
      </c>
      <c r="J225" s="16" t="n">
        <v>3</v>
      </c>
      <c r="K225" s="17" t="n">
        <v>0.0581</v>
      </c>
      <c r="L225" s="11" t="s">
        <v>22</v>
      </c>
      <c r="M225" s="13" t="n">
        <f aca="false">IF(Q225="sim",0,IFERROR(INDEX(Premissas!$C$8:$C$15,MATCH(L225,Premissas!$A$8:$A$15,0)),0))</f>
        <v>0</v>
      </c>
      <c r="N225" s="18" t="n">
        <f aca="false">Premissas!$B$4*M225</f>
        <v>0</v>
      </c>
      <c r="O225" s="18" t="n">
        <f aca="false">N225*K225</f>
        <v>0</v>
      </c>
      <c r="P225" s="18" t="n">
        <f aca="false">P224+O225</f>
        <v>25411.5</v>
      </c>
      <c r="Q225" s="11" t="s">
        <v>51</v>
      </c>
    </row>
    <row r="226" customFormat="false" ht="15" hidden="false" customHeight="false" outlineLevel="0" collapsed="false">
      <c r="A226" s="11" t="n">
        <v>225</v>
      </c>
      <c r="B226" s="11" t="s">
        <v>222</v>
      </c>
      <c r="C226" s="11" t="s">
        <v>184</v>
      </c>
      <c r="D226" s="11" t="s">
        <v>218</v>
      </c>
      <c r="E226" s="12" t="n">
        <v>62.1</v>
      </c>
      <c r="F226" s="13" t="n">
        <v>0.9</v>
      </c>
      <c r="G226" s="14" t="n">
        <v>0.692</v>
      </c>
      <c r="H226" s="15" t="n">
        <v>46148</v>
      </c>
      <c r="I226" s="15" t="n">
        <v>46153</v>
      </c>
      <c r="J226" s="16" t="n">
        <v>5</v>
      </c>
      <c r="K226" s="17" t="n">
        <v>-0.075</v>
      </c>
      <c r="L226" s="11" t="s">
        <v>22</v>
      </c>
      <c r="M226" s="13" t="n">
        <f aca="false">IF(Q226="sim",0,IFERROR(INDEX(Premissas!$C$8:$C$15,MATCH(L226,Premissas!$A$8:$A$15,0)),0))</f>
        <v>0</v>
      </c>
      <c r="N226" s="18" t="n">
        <f aca="false">Premissas!$B$4*M226</f>
        <v>0</v>
      </c>
      <c r="O226" s="18" t="n">
        <f aca="false">N226*K226</f>
        <v>-0</v>
      </c>
      <c r="P226" s="18" t="n">
        <f aca="false">P225+O226</f>
        <v>25411.5</v>
      </c>
      <c r="Q226" s="11" t="s">
        <v>51</v>
      </c>
    </row>
    <row r="227" customFormat="false" ht="15" hidden="false" customHeight="false" outlineLevel="0" collapsed="false">
      <c r="A227" s="11" t="n">
        <v>226</v>
      </c>
      <c r="B227" s="11" t="s">
        <v>223</v>
      </c>
      <c r="C227" s="11" t="s">
        <v>184</v>
      </c>
      <c r="D227" s="11" t="s">
        <v>197</v>
      </c>
      <c r="E227" s="12" t="n">
        <v>59.1</v>
      </c>
      <c r="F227" s="13" t="n">
        <v>0.6</v>
      </c>
      <c r="G227" s="14" t="n">
        <v>1.613</v>
      </c>
      <c r="H227" s="15" t="n">
        <v>46150</v>
      </c>
      <c r="I227" s="15" t="n">
        <v>46153</v>
      </c>
      <c r="J227" s="16" t="n">
        <v>3</v>
      </c>
      <c r="K227" s="17" t="n">
        <v>0.0528</v>
      </c>
      <c r="L227" s="11" t="s">
        <v>14</v>
      </c>
      <c r="M227" s="13" t="n">
        <f aca="false">IF(Q227="sim",0,IFERROR(INDEX(Premissas!$C$8:$C$15,MATCH(L227,Premissas!$A$8:$A$15,0)),0))</f>
        <v>0.08</v>
      </c>
      <c r="N227" s="18" t="n">
        <f aca="false">Premissas!$B$4*M227</f>
        <v>8000</v>
      </c>
      <c r="O227" s="18" t="n">
        <f aca="false">N227*K227</f>
        <v>422.4</v>
      </c>
      <c r="P227" s="18" t="n">
        <f aca="false">P226+O227</f>
        <v>25833.9</v>
      </c>
      <c r="Q227" s="11" t="s">
        <v>51</v>
      </c>
    </row>
    <row r="228" customFormat="false" ht="15" hidden="false" customHeight="false" outlineLevel="0" collapsed="false">
      <c r="A228" s="11" t="n">
        <v>227</v>
      </c>
      <c r="B228" s="11" t="s">
        <v>224</v>
      </c>
      <c r="C228" s="11" t="s">
        <v>188</v>
      </c>
      <c r="D228" s="11" t="s">
        <v>170</v>
      </c>
      <c r="E228" s="12"/>
      <c r="F228" s="13" t="n">
        <v>0.6506</v>
      </c>
      <c r="G228" s="14" t="n">
        <v>1.406</v>
      </c>
      <c r="H228" s="15" t="n">
        <v>46146</v>
      </c>
      <c r="I228" s="15" t="n">
        <v>46153</v>
      </c>
      <c r="J228" s="16" t="n">
        <v>7</v>
      </c>
      <c r="K228" s="17" t="n">
        <v>0.0535</v>
      </c>
      <c r="L228" s="11" t="s">
        <v>10</v>
      </c>
      <c r="M228" s="13" t="n">
        <f aca="false">IF(Q228="sim",0,IFERROR(INDEX(Premissas!$C$8:$C$15,MATCH(L228,Premissas!$A$8:$A$15,0)),0))</f>
        <v>0.1</v>
      </c>
      <c r="N228" s="18" t="n">
        <f aca="false">Premissas!$B$4*M228</f>
        <v>10000</v>
      </c>
      <c r="O228" s="18" t="n">
        <f aca="false">N228*K228</f>
        <v>535</v>
      </c>
      <c r="P228" s="18" t="n">
        <f aca="false">P227+O228</f>
        <v>26368.9</v>
      </c>
      <c r="Q228" s="11" t="s">
        <v>51</v>
      </c>
    </row>
    <row r="229" customFormat="false" ht="15" hidden="false" customHeight="false" outlineLevel="0" collapsed="false">
      <c r="A229" s="11" t="n">
        <v>228</v>
      </c>
      <c r="B229" s="11" t="s">
        <v>225</v>
      </c>
      <c r="C229" s="11" t="s">
        <v>184</v>
      </c>
      <c r="D229" s="11" t="s">
        <v>191</v>
      </c>
      <c r="E229" s="12" t="n">
        <v>78.1</v>
      </c>
      <c r="F229" s="13" t="n">
        <v>1</v>
      </c>
      <c r="G229" s="14"/>
      <c r="H229" s="15" t="n">
        <v>46147</v>
      </c>
      <c r="I229" s="15" t="n">
        <v>46155</v>
      </c>
      <c r="J229" s="16" t="n">
        <v>8</v>
      </c>
      <c r="K229" s="17" t="n">
        <v>0.0551</v>
      </c>
      <c r="L229" s="11" t="s">
        <v>20</v>
      </c>
      <c r="M229" s="13" t="n">
        <f aca="false">IF(Q229="sim",0,IFERROR(INDEX(Premissas!$C$8:$C$15,MATCH(L229,Premissas!$A$8:$A$15,0)),0))</f>
        <v>0.035</v>
      </c>
      <c r="N229" s="18" t="n">
        <f aca="false">Premissas!$B$4*M229</f>
        <v>3500</v>
      </c>
      <c r="O229" s="18" t="n">
        <f aca="false">N229*K229</f>
        <v>192.85</v>
      </c>
      <c r="P229" s="18" t="n">
        <f aca="false">P228+O229</f>
        <v>26561.75</v>
      </c>
      <c r="Q229" s="11" t="s">
        <v>51</v>
      </c>
    </row>
    <row r="230" customFormat="false" ht="15" hidden="false" customHeight="false" outlineLevel="0" collapsed="false">
      <c r="A230" s="11" t="n">
        <v>229</v>
      </c>
      <c r="B230" s="11" t="s">
        <v>226</v>
      </c>
      <c r="C230" s="11" t="s">
        <v>184</v>
      </c>
      <c r="D230" s="11" t="s">
        <v>191</v>
      </c>
      <c r="E230" s="12" t="n">
        <v>70.1</v>
      </c>
      <c r="F230" s="13" t="n">
        <v>0.7</v>
      </c>
      <c r="G230" s="14"/>
      <c r="H230" s="15" t="n">
        <v>46150</v>
      </c>
      <c r="I230" s="15" t="n">
        <v>46156</v>
      </c>
      <c r="J230" s="16" t="n">
        <v>6</v>
      </c>
      <c r="K230" s="17" t="n">
        <v>0.0831</v>
      </c>
      <c r="L230" s="11" t="s">
        <v>20</v>
      </c>
      <c r="M230" s="13" t="n">
        <f aca="false">IF(Q230="sim",0,IFERROR(INDEX(Premissas!$C$8:$C$15,MATCH(L230,Premissas!$A$8:$A$15,0)),0))</f>
        <v>0.035</v>
      </c>
      <c r="N230" s="18" t="n">
        <f aca="false">Premissas!$B$4*M230</f>
        <v>3500</v>
      </c>
      <c r="O230" s="18" t="n">
        <f aca="false">N230*K230</f>
        <v>290.85</v>
      </c>
      <c r="P230" s="18" t="n">
        <f aca="false">P229+O230</f>
        <v>26852.6</v>
      </c>
      <c r="Q230" s="11" t="s">
        <v>51</v>
      </c>
    </row>
    <row r="231" customFormat="false" ht="15" hidden="false" customHeight="false" outlineLevel="0" collapsed="false">
      <c r="A231" s="11" t="n">
        <v>230</v>
      </c>
      <c r="B231" s="11" t="s">
        <v>227</v>
      </c>
      <c r="C231" s="11" t="s">
        <v>188</v>
      </c>
      <c r="D231" s="11" t="s">
        <v>170</v>
      </c>
      <c r="E231" s="12"/>
      <c r="F231" s="13" t="n">
        <v>0.6018</v>
      </c>
      <c r="G231" s="14" t="n">
        <v>1.485</v>
      </c>
      <c r="H231" s="15" t="n">
        <v>46154</v>
      </c>
      <c r="I231" s="15" t="n">
        <v>46157</v>
      </c>
      <c r="J231" s="16" t="n">
        <v>3</v>
      </c>
      <c r="K231" s="17" t="n">
        <v>-0.0269</v>
      </c>
      <c r="L231" s="11" t="s">
        <v>10</v>
      </c>
      <c r="M231" s="13" t="n">
        <f aca="false">IF(Q231="sim",0,IFERROR(INDEX(Premissas!$C$8:$C$15,MATCH(L231,Premissas!$A$8:$A$15,0)),0))</f>
        <v>0.1</v>
      </c>
      <c r="N231" s="18" t="n">
        <f aca="false">Premissas!$B$4*M231</f>
        <v>10000</v>
      </c>
      <c r="O231" s="18" t="n">
        <f aca="false">N231*K231</f>
        <v>-269</v>
      </c>
      <c r="P231" s="18" t="n">
        <f aca="false">P230+O231</f>
        <v>26583.6</v>
      </c>
      <c r="Q231" s="11" t="s">
        <v>51</v>
      </c>
    </row>
    <row r="232" customFormat="false" ht="15" hidden="false" customHeight="false" outlineLevel="0" collapsed="false">
      <c r="A232" s="11" t="n">
        <v>231</v>
      </c>
      <c r="B232" s="11" t="s">
        <v>228</v>
      </c>
      <c r="C232" s="11" t="s">
        <v>184</v>
      </c>
      <c r="D232" s="11" t="s">
        <v>191</v>
      </c>
      <c r="E232" s="12" t="n">
        <v>73.1</v>
      </c>
      <c r="F232" s="13" t="n">
        <v>0.8</v>
      </c>
      <c r="G232" s="14"/>
      <c r="H232" s="15" t="n">
        <v>46155</v>
      </c>
      <c r="I232" s="15" t="n">
        <v>46160</v>
      </c>
      <c r="J232" s="16" t="n">
        <v>5</v>
      </c>
      <c r="K232" s="17" t="n">
        <v>0.051</v>
      </c>
      <c r="L232" s="11" t="s">
        <v>20</v>
      </c>
      <c r="M232" s="13" t="n">
        <f aca="false">IF(Q232="sim",0,IFERROR(INDEX(Premissas!$C$8:$C$15,MATCH(L232,Premissas!$A$8:$A$15,0)),0))</f>
        <v>0.035</v>
      </c>
      <c r="N232" s="18" t="n">
        <f aca="false">Premissas!$B$4*M232</f>
        <v>3500</v>
      </c>
      <c r="O232" s="18" t="n">
        <f aca="false">N232*K232</f>
        <v>178.5</v>
      </c>
      <c r="P232" s="18" t="n">
        <f aca="false">P231+O232</f>
        <v>26762.1</v>
      </c>
      <c r="Q232" s="11" t="s">
        <v>51</v>
      </c>
    </row>
    <row r="233" customFormat="false" ht="15" hidden="false" customHeight="false" outlineLevel="0" collapsed="false">
      <c r="A233" s="11" t="n">
        <v>232</v>
      </c>
      <c r="B233" s="11" t="s">
        <v>227</v>
      </c>
      <c r="C233" s="11" t="s">
        <v>188</v>
      </c>
      <c r="D233" s="11" t="s">
        <v>170</v>
      </c>
      <c r="E233" s="12"/>
      <c r="F233" s="13" t="n">
        <v>0.6018</v>
      </c>
      <c r="G233" s="14" t="n">
        <v>1.465</v>
      </c>
      <c r="H233" s="15" t="n">
        <v>46161</v>
      </c>
      <c r="I233" s="15" t="n">
        <v>46163</v>
      </c>
      <c r="J233" s="16" t="n">
        <v>2</v>
      </c>
      <c r="K233" s="17" t="n">
        <v>-0.0336</v>
      </c>
      <c r="L233" s="11" t="s">
        <v>10</v>
      </c>
      <c r="M233" s="13" t="n">
        <f aca="false">IF(Q233="sim",0,IFERROR(INDEX(Premissas!$C$8:$C$15,MATCH(L233,Premissas!$A$8:$A$15,0)),0))</f>
        <v>0.1</v>
      </c>
      <c r="N233" s="18" t="n">
        <f aca="false">Premissas!$B$4*M233</f>
        <v>10000</v>
      </c>
      <c r="O233" s="18" t="n">
        <f aca="false">N233*K233</f>
        <v>-336</v>
      </c>
      <c r="P233" s="18" t="n">
        <f aca="false">P232+O233</f>
        <v>26426.1</v>
      </c>
      <c r="Q233" s="11" t="s">
        <v>51</v>
      </c>
    </row>
    <row r="234" customFormat="false" ht="15" hidden="false" customHeight="false" outlineLevel="0" collapsed="false">
      <c r="A234" s="11" t="n">
        <v>233</v>
      </c>
      <c r="B234" s="11" t="s">
        <v>229</v>
      </c>
      <c r="C234" s="11" t="s">
        <v>184</v>
      </c>
      <c r="D234" s="11" t="s">
        <v>197</v>
      </c>
      <c r="E234" s="12" t="n">
        <v>63.1</v>
      </c>
      <c r="F234" s="13" t="n">
        <v>0.9</v>
      </c>
      <c r="G234" s="14" t="n">
        <v>1.471</v>
      </c>
      <c r="H234" s="15" t="n">
        <v>46163</v>
      </c>
      <c r="I234" s="15" t="n">
        <v>46164</v>
      </c>
      <c r="J234" s="16" t="n">
        <v>1</v>
      </c>
      <c r="K234" s="17" t="n">
        <v>0.0104</v>
      </c>
      <c r="L234" s="11" t="s">
        <v>14</v>
      </c>
      <c r="M234" s="13" t="n">
        <f aca="false">IF(Q234="sim",0,IFERROR(INDEX(Premissas!$C$8:$C$15,MATCH(L234,Premissas!$A$8:$A$15,0)),0))</f>
        <v>0.08</v>
      </c>
      <c r="N234" s="18" t="n">
        <f aca="false">Premissas!$B$4*M234</f>
        <v>8000</v>
      </c>
      <c r="O234" s="18" t="n">
        <f aca="false">N234*K234</f>
        <v>83.2</v>
      </c>
      <c r="P234" s="18" t="n">
        <f aca="false">P233+O234</f>
        <v>26509.3</v>
      </c>
      <c r="Q234" s="11" t="s">
        <v>51</v>
      </c>
    </row>
    <row r="235" customFormat="false" ht="15" hidden="false" customHeight="false" outlineLevel="0" collapsed="false">
      <c r="A235" s="11" t="n">
        <v>234</v>
      </c>
      <c r="B235" s="11" t="s">
        <v>230</v>
      </c>
      <c r="C235" s="11" t="s">
        <v>184</v>
      </c>
      <c r="D235" s="11" t="s">
        <v>197</v>
      </c>
      <c r="E235" s="12" t="n">
        <v>62.1</v>
      </c>
      <c r="F235" s="13" t="n">
        <v>1</v>
      </c>
      <c r="G235" s="14" t="n">
        <v>1.319</v>
      </c>
      <c r="H235" s="15" t="n">
        <v>46163</v>
      </c>
      <c r="I235" s="15" t="n">
        <v>46164</v>
      </c>
      <c r="J235" s="16" t="n">
        <v>1</v>
      </c>
      <c r="K235" s="17" t="n">
        <v>0.0551</v>
      </c>
      <c r="L235" s="11" t="s">
        <v>14</v>
      </c>
      <c r="M235" s="13" t="n">
        <f aca="false">IF(Q235="sim",0,IFERROR(INDEX(Premissas!$C$8:$C$15,MATCH(L235,Premissas!$A$8:$A$15,0)),0))</f>
        <v>0.08</v>
      </c>
      <c r="N235" s="18" t="n">
        <f aca="false">Premissas!$B$4*M235</f>
        <v>8000</v>
      </c>
      <c r="O235" s="18" t="n">
        <f aca="false">N235*K235</f>
        <v>440.8</v>
      </c>
      <c r="P235" s="18" t="n">
        <f aca="false">P234+O235</f>
        <v>26950.1</v>
      </c>
      <c r="Q235" s="11" t="s">
        <v>51</v>
      </c>
    </row>
    <row r="236" customFormat="false" ht="15" hidden="false" customHeight="false" outlineLevel="0" collapsed="false">
      <c r="A236" s="11" t="n">
        <v>235</v>
      </c>
      <c r="B236" s="11" t="s">
        <v>231</v>
      </c>
      <c r="C236" s="11" t="s">
        <v>184</v>
      </c>
      <c r="D236" s="11" t="s">
        <v>197</v>
      </c>
      <c r="E236" s="12" t="n">
        <v>70.1</v>
      </c>
      <c r="F236" s="13" t="n">
        <v>0.8</v>
      </c>
      <c r="G236" s="14" t="n">
        <v>1.88</v>
      </c>
      <c r="H236" s="15" t="n">
        <v>46162</v>
      </c>
      <c r="I236" s="15" t="n">
        <v>46168</v>
      </c>
      <c r="J236" s="16" t="n">
        <v>6</v>
      </c>
      <c r="K236" s="17" t="n">
        <v>0.0093</v>
      </c>
      <c r="L236" s="11" t="s">
        <v>16</v>
      </c>
      <c r="M236" s="13" t="n">
        <f aca="false">IF(Q236="sim",0,IFERROR(INDEX(Premissas!$C$8:$C$15,MATCH(L236,Premissas!$A$8:$A$15,0)),0))</f>
        <v>0.07</v>
      </c>
      <c r="N236" s="18" t="n">
        <f aca="false">Premissas!$B$4*M236</f>
        <v>7000</v>
      </c>
      <c r="O236" s="18" t="n">
        <f aca="false">N236*K236</f>
        <v>65.1</v>
      </c>
      <c r="P236" s="18" t="n">
        <f aca="false">P235+O236</f>
        <v>27015.2</v>
      </c>
      <c r="Q236" s="11" t="s">
        <v>51</v>
      </c>
    </row>
    <row r="237" customFormat="false" ht="15" hidden="false" customHeight="false" outlineLevel="0" collapsed="false">
      <c r="A237" s="11" t="n">
        <v>236</v>
      </c>
      <c r="B237" s="11" t="s">
        <v>201</v>
      </c>
      <c r="C237" s="11" t="s">
        <v>184</v>
      </c>
      <c r="D237" s="11" t="s">
        <v>185</v>
      </c>
      <c r="E237" s="12" t="n">
        <v>53.1</v>
      </c>
      <c r="F237" s="13" t="n">
        <v>0</v>
      </c>
      <c r="G237" s="14"/>
      <c r="H237" s="15" t="n">
        <v>46160</v>
      </c>
      <c r="I237" s="15" t="n">
        <v>46168</v>
      </c>
      <c r="J237" s="16" t="n">
        <v>8</v>
      </c>
      <c r="K237" s="17" t="n">
        <v>0.0503</v>
      </c>
      <c r="L237" s="11" t="s">
        <v>22</v>
      </c>
      <c r="M237" s="13" t="n">
        <f aca="false">IF(Q237="sim",0,IFERROR(INDEX(Premissas!$C$8:$C$15,MATCH(L237,Premissas!$A$8:$A$15,0)),0))</f>
        <v>0</v>
      </c>
      <c r="N237" s="18" t="n">
        <f aca="false">Premissas!$B$4*M237</f>
        <v>0</v>
      </c>
      <c r="O237" s="18" t="n">
        <f aca="false">N237*K237</f>
        <v>0</v>
      </c>
      <c r="P237" s="18" t="n">
        <f aca="false">P236+O237</f>
        <v>27015.2</v>
      </c>
      <c r="Q237" s="11" t="s">
        <v>51</v>
      </c>
    </row>
    <row r="238" customFormat="false" ht="15" hidden="false" customHeight="false" outlineLevel="0" collapsed="false">
      <c r="A238" s="11" t="n">
        <v>237</v>
      </c>
      <c r="B238" s="11" t="s">
        <v>232</v>
      </c>
      <c r="C238" s="11" t="s">
        <v>184</v>
      </c>
      <c r="D238" s="11" t="s">
        <v>191</v>
      </c>
      <c r="E238" s="12" t="n">
        <v>92.1</v>
      </c>
      <c r="F238" s="13" t="n">
        <v>0.6667</v>
      </c>
      <c r="G238" s="14" t="n">
        <v>5.726</v>
      </c>
      <c r="H238" s="15" t="n">
        <v>46164</v>
      </c>
      <c r="I238" s="15" t="n">
        <v>46169</v>
      </c>
      <c r="J238" s="16" t="n">
        <v>5</v>
      </c>
      <c r="K238" s="17" t="n">
        <v>0.0807</v>
      </c>
      <c r="L238" s="11" t="s">
        <v>18</v>
      </c>
      <c r="M238" s="13" t="n">
        <f aca="false">IF(Q238="sim",0,IFERROR(INDEX(Premissas!$C$8:$C$15,MATCH(L238,Premissas!$A$8:$A$15,0)),0))</f>
        <v>0.06</v>
      </c>
      <c r="N238" s="18" t="n">
        <f aca="false">Premissas!$B$4*M238</f>
        <v>6000</v>
      </c>
      <c r="O238" s="18" t="n">
        <f aca="false">N238*K238</f>
        <v>484.2</v>
      </c>
      <c r="P238" s="18" t="n">
        <f aca="false">P237+O238</f>
        <v>27499.4</v>
      </c>
      <c r="Q238" s="11" t="s">
        <v>51</v>
      </c>
    </row>
    <row r="239" customFormat="false" ht="15" hidden="false" customHeight="false" outlineLevel="0" collapsed="false">
      <c r="A239" s="11" t="n">
        <v>238</v>
      </c>
      <c r="B239" s="11" t="s">
        <v>233</v>
      </c>
      <c r="C239" s="11" t="s">
        <v>184</v>
      </c>
      <c r="D239" s="11" t="s">
        <v>191</v>
      </c>
      <c r="E239" s="12" t="n">
        <v>79.1</v>
      </c>
      <c r="F239" s="13" t="n">
        <v>0.4</v>
      </c>
      <c r="G239" s="14" t="n">
        <v>2.725</v>
      </c>
      <c r="H239" s="15" t="n">
        <v>46156</v>
      </c>
      <c r="I239" s="15" t="n">
        <v>46170</v>
      </c>
      <c r="J239" s="16" t="n">
        <v>14</v>
      </c>
      <c r="K239" s="17" t="n">
        <v>-0.0209</v>
      </c>
      <c r="L239" s="11" t="s">
        <v>20</v>
      </c>
      <c r="M239" s="13" t="n">
        <f aca="false">IF(Q239="sim",0,IFERROR(INDEX(Premissas!$C$8:$C$15,MATCH(L239,Premissas!$A$8:$A$15,0)),0))</f>
        <v>0.035</v>
      </c>
      <c r="N239" s="18" t="n">
        <f aca="false">Premissas!$B$4*M239</f>
        <v>3500</v>
      </c>
      <c r="O239" s="18" t="n">
        <f aca="false">N239*K239</f>
        <v>-73.15</v>
      </c>
      <c r="P239" s="18" t="n">
        <f aca="false">P238+O239</f>
        <v>27426.25</v>
      </c>
      <c r="Q239" s="11" t="s">
        <v>51</v>
      </c>
    </row>
    <row r="240" customFormat="false" ht="15" hidden="false" customHeight="false" outlineLevel="0" collapsed="false">
      <c r="A240" s="11" t="n">
        <v>239</v>
      </c>
      <c r="B240" s="11" t="s">
        <v>234</v>
      </c>
      <c r="C240" s="11" t="s">
        <v>184</v>
      </c>
      <c r="D240" s="11" t="s">
        <v>197</v>
      </c>
      <c r="E240" s="12" t="n">
        <v>68.1</v>
      </c>
      <c r="F240" s="13" t="n">
        <v>0.8</v>
      </c>
      <c r="G240" s="14" t="n">
        <v>1.805</v>
      </c>
      <c r="H240" s="15" t="n">
        <v>46148</v>
      </c>
      <c r="I240" s="15" t="n">
        <v>46175</v>
      </c>
      <c r="J240" s="16" t="n">
        <v>27</v>
      </c>
      <c r="K240" s="17" t="n">
        <v>0.0521</v>
      </c>
      <c r="L240" s="11" t="s">
        <v>16</v>
      </c>
      <c r="M240" s="13" t="n">
        <f aca="false">IF(Q240="sim",0,IFERROR(INDEX(Premissas!$C$8:$C$15,MATCH(L240,Premissas!$A$8:$A$15,0)),0))</f>
        <v>0.07</v>
      </c>
      <c r="N240" s="18" t="n">
        <f aca="false">Premissas!$B$4*M240</f>
        <v>7000</v>
      </c>
      <c r="O240" s="18" t="n">
        <f aca="false">N240*K240</f>
        <v>364.7</v>
      </c>
      <c r="P240" s="18" t="n">
        <f aca="false">P239+O240</f>
        <v>27790.95</v>
      </c>
      <c r="Q240" s="11" t="s">
        <v>51</v>
      </c>
    </row>
    <row r="241" customFormat="false" ht="15" hidden="false" customHeight="false" outlineLevel="0" collapsed="false">
      <c r="A241" s="11" t="n">
        <v>240</v>
      </c>
      <c r="B241" s="11" t="s">
        <v>235</v>
      </c>
      <c r="C241" s="11" t="s">
        <v>188</v>
      </c>
      <c r="D241" s="11" t="s">
        <v>160</v>
      </c>
      <c r="E241" s="12"/>
      <c r="F241" s="13" t="n">
        <v>0.6316</v>
      </c>
      <c r="G241" s="14" t="n">
        <v>1.474</v>
      </c>
      <c r="H241" s="15" t="n">
        <v>46171</v>
      </c>
      <c r="I241" s="15" t="n">
        <v>46176</v>
      </c>
      <c r="J241" s="16" t="n">
        <v>5</v>
      </c>
      <c r="K241" s="17" t="n">
        <v>-0.0376</v>
      </c>
      <c r="L241" s="11" t="s">
        <v>10</v>
      </c>
      <c r="M241" s="13" t="n">
        <f aca="false">IF(Q241="sim",0,IFERROR(INDEX(Premissas!$C$8:$C$15,MATCH(L241,Premissas!$A$8:$A$15,0)),0))</f>
        <v>0.1</v>
      </c>
      <c r="N241" s="18" t="n">
        <f aca="false">Premissas!$B$4*M241</f>
        <v>10000</v>
      </c>
      <c r="O241" s="18" t="n">
        <f aca="false">N241*K241</f>
        <v>-376</v>
      </c>
      <c r="P241" s="18" t="n">
        <f aca="false">P240+O241</f>
        <v>27414.95</v>
      </c>
      <c r="Q241" s="11" t="s">
        <v>51</v>
      </c>
    </row>
    <row r="242" customFormat="false" ht="15" hidden="false" customHeight="false" outlineLevel="0" collapsed="false">
      <c r="A242" s="11" t="n">
        <v>241</v>
      </c>
      <c r="B242" s="11" t="s">
        <v>236</v>
      </c>
      <c r="C242" s="11" t="s">
        <v>184</v>
      </c>
      <c r="D242" s="11" t="s">
        <v>191</v>
      </c>
      <c r="E242" s="12" t="n">
        <v>98.1</v>
      </c>
      <c r="F242" s="13" t="n">
        <v>0.9</v>
      </c>
      <c r="G242" s="14" t="n">
        <v>3.183</v>
      </c>
      <c r="H242" s="15" t="n">
        <v>46176</v>
      </c>
      <c r="I242" s="15" t="n">
        <v>46177</v>
      </c>
      <c r="J242" s="16" t="n">
        <v>1</v>
      </c>
      <c r="K242" s="17" t="n">
        <v>0.0124</v>
      </c>
      <c r="L242" s="11" t="s">
        <v>18</v>
      </c>
      <c r="M242" s="13" t="n">
        <f aca="false">IF(Q242="sim",0,IFERROR(INDEX(Premissas!$C$8:$C$15,MATCH(L242,Premissas!$A$8:$A$15,0)),0))</f>
        <v>0.06</v>
      </c>
      <c r="N242" s="18" t="n">
        <f aca="false">Premissas!$B$4*M242</f>
        <v>6000</v>
      </c>
      <c r="O242" s="18" t="n">
        <f aca="false">N242*K242</f>
        <v>74.4</v>
      </c>
      <c r="P242" s="18" t="n">
        <f aca="false">P241+O242</f>
        <v>27489.35</v>
      </c>
      <c r="Q242" s="11" t="s">
        <v>51</v>
      </c>
    </row>
    <row r="243" customFormat="false" ht="15" hidden="false" customHeight="false" outlineLevel="0" collapsed="false">
      <c r="A243" s="11" t="n">
        <v>242</v>
      </c>
      <c r="B243" s="11" t="s">
        <v>237</v>
      </c>
      <c r="C243" s="11" t="s">
        <v>184</v>
      </c>
      <c r="D243" s="11" t="s">
        <v>191</v>
      </c>
      <c r="E243" s="12" t="n">
        <v>70.1</v>
      </c>
      <c r="F243" s="13" t="n">
        <v>0.7</v>
      </c>
      <c r="G243" s="14" t="n">
        <v>2.022</v>
      </c>
      <c r="H243" s="15" t="n">
        <v>46161</v>
      </c>
      <c r="I243" s="15" t="n">
        <v>46178</v>
      </c>
      <c r="J243" s="16" t="n">
        <v>17</v>
      </c>
      <c r="K243" s="17" t="n">
        <v>-0.0004</v>
      </c>
      <c r="L243" s="11" t="s">
        <v>20</v>
      </c>
      <c r="M243" s="13" t="n">
        <f aca="false">IF(Q243="sim",0,IFERROR(INDEX(Premissas!$C$8:$C$15,MATCH(L243,Premissas!$A$8:$A$15,0)),0))</f>
        <v>0.035</v>
      </c>
      <c r="N243" s="18" t="n">
        <f aca="false">Premissas!$B$4*M243</f>
        <v>3500</v>
      </c>
      <c r="O243" s="18" t="n">
        <f aca="false">N243*K243</f>
        <v>-1.4</v>
      </c>
      <c r="P243" s="18" t="n">
        <f aca="false">P242+O243</f>
        <v>27487.95</v>
      </c>
      <c r="Q243" s="11" t="s">
        <v>51</v>
      </c>
    </row>
    <row r="244" customFormat="false" ht="15" hidden="false" customHeight="false" outlineLevel="0" collapsed="false">
      <c r="A244" s="11" t="n">
        <v>243</v>
      </c>
      <c r="B244" s="11" t="s">
        <v>213</v>
      </c>
      <c r="C244" s="11" t="s">
        <v>184</v>
      </c>
      <c r="D244" s="11" t="s">
        <v>185</v>
      </c>
      <c r="E244" s="12" t="n">
        <v>53.1</v>
      </c>
      <c r="F244" s="13" t="n">
        <v>0.7</v>
      </c>
      <c r="G244" s="14" t="n">
        <v>1.222</v>
      </c>
      <c r="H244" s="15" t="n">
        <v>46169</v>
      </c>
      <c r="I244" s="15" t="n">
        <v>46178</v>
      </c>
      <c r="J244" s="16" t="n">
        <v>9</v>
      </c>
      <c r="K244" s="17" t="n">
        <v>-0.0281</v>
      </c>
      <c r="L244" s="11" t="s">
        <v>22</v>
      </c>
      <c r="M244" s="13" t="n">
        <f aca="false">IF(Q244="sim",0,IFERROR(INDEX(Premissas!$C$8:$C$15,MATCH(L244,Premissas!$A$8:$A$15,0)),0))</f>
        <v>0</v>
      </c>
      <c r="N244" s="18" t="n">
        <f aca="false">Premissas!$B$4*M244</f>
        <v>0</v>
      </c>
      <c r="O244" s="18" t="n">
        <f aca="false">N244*K244</f>
        <v>-0</v>
      </c>
      <c r="P244" s="18" t="n">
        <f aca="false">P243+O244</f>
        <v>27487.95</v>
      </c>
      <c r="Q244" s="11" t="s">
        <v>51</v>
      </c>
    </row>
    <row r="245" customFormat="false" ht="15" hidden="false" customHeight="false" outlineLevel="0" collapsed="false">
      <c r="A245" s="11" t="n">
        <v>244</v>
      </c>
      <c r="B245" s="11" t="s">
        <v>236</v>
      </c>
      <c r="C245" s="11" t="s">
        <v>184</v>
      </c>
      <c r="D245" s="11" t="s">
        <v>191</v>
      </c>
      <c r="E245" s="12" t="n">
        <v>98.1</v>
      </c>
      <c r="F245" s="13" t="n">
        <v>0.9</v>
      </c>
      <c r="G245" s="14" t="n">
        <v>3.183</v>
      </c>
      <c r="H245" s="15" t="n">
        <v>46176</v>
      </c>
      <c r="I245" s="15" t="n">
        <v>46178</v>
      </c>
      <c r="J245" s="16" t="n">
        <v>2</v>
      </c>
      <c r="K245" s="17" t="n">
        <v>-0.0511</v>
      </c>
      <c r="L245" s="11" t="s">
        <v>18</v>
      </c>
      <c r="M245" s="13" t="n">
        <f aca="false">IF(Q245="sim",0,IFERROR(INDEX(Premissas!$C$8:$C$15,MATCH(L245,Premissas!$A$8:$A$15,0)),0))</f>
        <v>0.06</v>
      </c>
      <c r="N245" s="18" t="n">
        <f aca="false">Premissas!$B$4*M245</f>
        <v>6000</v>
      </c>
      <c r="O245" s="18" t="n">
        <f aca="false">N245*K245</f>
        <v>-306.6</v>
      </c>
      <c r="P245" s="18" t="n">
        <f aca="false">P244+O245</f>
        <v>27181.35</v>
      </c>
      <c r="Q245" s="11" t="s">
        <v>51</v>
      </c>
    </row>
    <row r="246" customFormat="false" ht="15" hidden="false" customHeight="false" outlineLevel="0" collapsed="false">
      <c r="A246" s="11" t="n">
        <v>245</v>
      </c>
      <c r="B246" s="11" t="s">
        <v>238</v>
      </c>
      <c r="C246" s="11" t="s">
        <v>184</v>
      </c>
      <c r="D246" s="11" t="s">
        <v>191</v>
      </c>
      <c r="E246" s="12" t="n">
        <v>75.1</v>
      </c>
      <c r="F246" s="13" t="n">
        <v>0.9</v>
      </c>
      <c r="G246" s="14" t="n">
        <v>1.999</v>
      </c>
      <c r="H246" s="15" t="n">
        <v>46170</v>
      </c>
      <c r="I246" s="15" t="n">
        <v>46181</v>
      </c>
      <c r="J246" s="16" t="n">
        <v>11</v>
      </c>
      <c r="K246" s="17" t="n">
        <v>-0.0905</v>
      </c>
      <c r="L246" s="11" t="s">
        <v>20</v>
      </c>
      <c r="M246" s="13" t="n">
        <f aca="false">IF(Q246="sim",0,IFERROR(INDEX(Premissas!$C$8:$C$15,MATCH(L246,Premissas!$A$8:$A$15,0)),0))</f>
        <v>0.035</v>
      </c>
      <c r="N246" s="18" t="n">
        <f aca="false">Premissas!$B$4*M246</f>
        <v>3500</v>
      </c>
      <c r="O246" s="18" t="n">
        <f aca="false">N246*K246</f>
        <v>-316.75</v>
      </c>
      <c r="P246" s="18" t="n">
        <f aca="false">P245+O246</f>
        <v>26864.6</v>
      </c>
      <c r="Q246" s="11" t="s">
        <v>51</v>
      </c>
    </row>
    <row r="247" customFormat="false" ht="15" hidden="false" customHeight="false" outlineLevel="0" collapsed="false">
      <c r="A247" s="11" t="n">
        <v>246</v>
      </c>
      <c r="B247" s="11" t="s">
        <v>65</v>
      </c>
      <c r="C247" s="11" t="s">
        <v>184</v>
      </c>
      <c r="D247" s="11" t="s">
        <v>191</v>
      </c>
      <c r="E247" s="12" t="n">
        <v>78.1</v>
      </c>
      <c r="F247" s="13" t="n">
        <v>0.4</v>
      </c>
      <c r="G247" s="14" t="n">
        <v>2.68</v>
      </c>
      <c r="H247" s="15" t="n">
        <v>46162</v>
      </c>
      <c r="I247" s="15" t="n">
        <v>46183</v>
      </c>
      <c r="J247" s="16" t="n">
        <v>21</v>
      </c>
      <c r="K247" s="17" t="n">
        <v>0.0501</v>
      </c>
      <c r="L247" s="11" t="s">
        <v>20</v>
      </c>
      <c r="M247" s="13" t="n">
        <f aca="false">IF(Q247="sim",0,IFERROR(INDEX(Premissas!$C$8:$C$15,MATCH(L247,Premissas!$A$8:$A$15,0)),0))</f>
        <v>0.035</v>
      </c>
      <c r="N247" s="18" t="n">
        <f aca="false">Premissas!$B$4*M247</f>
        <v>3500</v>
      </c>
      <c r="O247" s="18" t="n">
        <f aca="false">N247*K247</f>
        <v>175.35</v>
      </c>
      <c r="P247" s="18" t="n">
        <f aca="false">P246+O247</f>
        <v>27039.95</v>
      </c>
      <c r="Q247" s="11" t="s">
        <v>51</v>
      </c>
    </row>
    <row r="248" customFormat="false" ht="15" hidden="false" customHeight="false" outlineLevel="0" collapsed="false">
      <c r="A248" s="11" t="n">
        <v>247</v>
      </c>
      <c r="B248" s="11" t="s">
        <v>233</v>
      </c>
      <c r="C248" s="11" t="s">
        <v>184</v>
      </c>
      <c r="D248" s="11" t="s">
        <v>191</v>
      </c>
      <c r="E248" s="12" t="n">
        <v>79.1</v>
      </c>
      <c r="F248" s="13" t="n">
        <v>0.4</v>
      </c>
      <c r="G248" s="14" t="n">
        <v>2.725</v>
      </c>
      <c r="H248" s="15" t="n">
        <v>46148</v>
      </c>
      <c r="I248" s="15" t="n">
        <v>46183</v>
      </c>
      <c r="J248" s="16" t="n">
        <v>35</v>
      </c>
      <c r="K248" s="17" t="n">
        <v>-0.0125</v>
      </c>
      <c r="L248" s="11" t="s">
        <v>20</v>
      </c>
      <c r="M248" s="13" t="n">
        <f aca="false">IF(Q248="sim",0,IFERROR(INDEX(Premissas!$C$8:$C$15,MATCH(L248,Premissas!$A$8:$A$15,0)),0))</f>
        <v>0.035</v>
      </c>
      <c r="N248" s="18" t="n">
        <f aca="false">Premissas!$B$4*M248</f>
        <v>3500</v>
      </c>
      <c r="O248" s="18" t="n">
        <f aca="false">N248*K248</f>
        <v>-43.75</v>
      </c>
      <c r="P248" s="18" t="n">
        <f aca="false">P247+O248</f>
        <v>26996.2</v>
      </c>
      <c r="Q248" s="11" t="s">
        <v>51</v>
      </c>
    </row>
    <row r="249" customFormat="false" ht="15" hidden="false" customHeight="false" outlineLevel="0" collapsed="false">
      <c r="A249" s="11" t="n">
        <v>248</v>
      </c>
      <c r="B249" s="11" t="s">
        <v>237</v>
      </c>
      <c r="C249" s="11" t="s">
        <v>184</v>
      </c>
      <c r="D249" s="11" t="s">
        <v>191</v>
      </c>
      <c r="E249" s="12" t="n">
        <v>70.1</v>
      </c>
      <c r="F249" s="13" t="n">
        <v>0.7</v>
      </c>
      <c r="G249" s="14" t="n">
        <v>2.022</v>
      </c>
      <c r="H249" s="15" t="n">
        <v>46161</v>
      </c>
      <c r="I249" s="15" t="n">
        <v>46183</v>
      </c>
      <c r="J249" s="16" t="n">
        <v>22</v>
      </c>
      <c r="K249" s="17" t="n">
        <v>0.0039</v>
      </c>
      <c r="L249" s="11" t="s">
        <v>20</v>
      </c>
      <c r="M249" s="13" t="n">
        <f aca="false">IF(Q249="sim",0,IFERROR(INDEX(Premissas!$C$8:$C$15,MATCH(L249,Premissas!$A$8:$A$15,0)),0))</f>
        <v>0.035</v>
      </c>
      <c r="N249" s="18" t="n">
        <f aca="false">Premissas!$B$4*M249</f>
        <v>3500</v>
      </c>
      <c r="O249" s="18" t="n">
        <f aca="false">N249*K249</f>
        <v>13.65</v>
      </c>
      <c r="P249" s="18" t="n">
        <f aca="false">P248+O249</f>
        <v>27009.85</v>
      </c>
      <c r="Q249" s="11" t="s">
        <v>51</v>
      </c>
    </row>
    <row r="250" customFormat="false" ht="15" hidden="false" customHeight="false" outlineLevel="0" collapsed="false">
      <c r="A250" s="11" t="n">
        <v>249</v>
      </c>
      <c r="B250" s="11" t="s">
        <v>227</v>
      </c>
      <c r="C250" s="11" t="s">
        <v>188</v>
      </c>
      <c r="D250" s="11" t="s">
        <v>170</v>
      </c>
      <c r="E250" s="12"/>
      <c r="F250" s="13" t="n">
        <v>0.6018</v>
      </c>
      <c r="G250" s="14" t="n">
        <v>1.465</v>
      </c>
      <c r="H250" s="15" t="n">
        <v>46161</v>
      </c>
      <c r="I250" s="15" t="n">
        <v>46183</v>
      </c>
      <c r="J250" s="16" t="n">
        <v>22</v>
      </c>
      <c r="K250" s="17" t="n">
        <v>-0.0522</v>
      </c>
      <c r="L250" s="11" t="s">
        <v>10</v>
      </c>
      <c r="M250" s="13" t="n">
        <f aca="false">IF(Q250="sim",0,IFERROR(INDEX(Premissas!$C$8:$C$15,MATCH(L250,Premissas!$A$8:$A$15,0)),0))</f>
        <v>0.1</v>
      </c>
      <c r="N250" s="18" t="n">
        <f aca="false">Premissas!$B$4*M250</f>
        <v>10000</v>
      </c>
      <c r="O250" s="18" t="n">
        <f aca="false">N250*K250</f>
        <v>-522</v>
      </c>
      <c r="P250" s="18" t="n">
        <f aca="false">P249+O250</f>
        <v>26487.85</v>
      </c>
      <c r="Q250" s="11" t="s">
        <v>51</v>
      </c>
    </row>
    <row r="251" customFormat="false" ht="15" hidden="false" customHeight="false" outlineLevel="0" collapsed="false">
      <c r="A251" s="11" t="n">
        <v>250</v>
      </c>
      <c r="B251" s="11" t="s">
        <v>239</v>
      </c>
      <c r="C251" s="11" t="s">
        <v>184</v>
      </c>
      <c r="D251" s="11" t="s">
        <v>197</v>
      </c>
      <c r="E251" s="12" t="n">
        <v>61.1</v>
      </c>
      <c r="F251" s="13" t="n">
        <v>0.3333</v>
      </c>
      <c r="G251" s="14"/>
      <c r="H251" s="15" t="n">
        <v>46181</v>
      </c>
      <c r="I251" s="15" t="n">
        <v>46184</v>
      </c>
      <c r="J251" s="16" t="n">
        <v>3</v>
      </c>
      <c r="K251" s="17" t="n">
        <v>0.053</v>
      </c>
      <c r="L251" s="11" t="s">
        <v>20</v>
      </c>
      <c r="M251" s="13" t="n">
        <f aca="false">IF(Q251="sim",0,IFERROR(INDEX(Premissas!$C$8:$C$15,MATCH(L251,Premissas!$A$8:$A$15,0)),0))</f>
        <v>0.035</v>
      </c>
      <c r="N251" s="18" t="n">
        <f aca="false">Premissas!$B$4*M251</f>
        <v>3500</v>
      </c>
      <c r="O251" s="18" t="n">
        <f aca="false">N251*K251</f>
        <v>185.5</v>
      </c>
      <c r="P251" s="18" t="n">
        <f aca="false">P250+O251</f>
        <v>26673.35</v>
      </c>
      <c r="Q251" s="11" t="s">
        <v>51</v>
      </c>
    </row>
    <row r="252" customFormat="false" ht="15" hidden="false" customHeight="false" outlineLevel="0" collapsed="false">
      <c r="A252" s="11" t="n">
        <v>251</v>
      </c>
      <c r="B252" s="11" t="s">
        <v>240</v>
      </c>
      <c r="C252" s="11" t="s">
        <v>184</v>
      </c>
      <c r="D252" s="11" t="s">
        <v>191</v>
      </c>
      <c r="E252" s="12" t="n">
        <v>74.1</v>
      </c>
      <c r="F252" s="13" t="n">
        <v>0.8571</v>
      </c>
      <c r="G252" s="14"/>
      <c r="H252" s="15" t="n">
        <v>46176</v>
      </c>
      <c r="I252" s="15" t="n">
        <v>46185</v>
      </c>
      <c r="J252" s="16" t="n">
        <v>9</v>
      </c>
      <c r="K252" s="17" t="n">
        <v>-0.0842</v>
      </c>
      <c r="L252" s="11" t="s">
        <v>20</v>
      </c>
      <c r="M252" s="13" t="n">
        <f aca="false">IF(Q252="sim",0,IFERROR(INDEX(Premissas!$C$8:$C$15,MATCH(L252,Premissas!$A$8:$A$15,0)),0))</f>
        <v>0.035</v>
      </c>
      <c r="N252" s="18" t="n">
        <f aca="false">Premissas!$B$4*M252</f>
        <v>3500</v>
      </c>
      <c r="O252" s="18" t="n">
        <f aca="false">N252*K252</f>
        <v>-294.7</v>
      </c>
      <c r="P252" s="18" t="n">
        <f aca="false">P251+O252</f>
        <v>26378.65</v>
      </c>
      <c r="Q252" s="11" t="s">
        <v>51</v>
      </c>
    </row>
    <row r="253" customFormat="false" ht="15" hidden="false" customHeight="false" outlineLevel="0" collapsed="false">
      <c r="A253" s="11" t="n">
        <v>252</v>
      </c>
      <c r="B253" s="11" t="s">
        <v>194</v>
      </c>
      <c r="C253" s="11" t="s">
        <v>184</v>
      </c>
      <c r="D253" s="11" t="s">
        <v>191</v>
      </c>
      <c r="E253" s="12" t="n">
        <v>77.1</v>
      </c>
      <c r="F253" s="13" t="n">
        <v>1</v>
      </c>
      <c r="G253" s="14" t="n">
        <v>1.979</v>
      </c>
      <c r="H253" s="15" t="n">
        <v>46185</v>
      </c>
      <c r="I253" s="15" t="n">
        <v>46185</v>
      </c>
      <c r="J253" s="16" t="n">
        <v>0</v>
      </c>
      <c r="K253" s="17" t="n">
        <v>0</v>
      </c>
      <c r="L253" s="11" t="s">
        <v>20</v>
      </c>
      <c r="M253" s="13" t="n">
        <f aca="false">IF(Q253="sim",0,IFERROR(INDEX(Premissas!$C$8:$C$15,MATCH(L253,Premissas!$A$8:$A$15,0)),0))</f>
        <v>0.035</v>
      </c>
      <c r="N253" s="18" t="n">
        <f aca="false">Premissas!$B$4*M253</f>
        <v>3500</v>
      </c>
      <c r="O253" s="18" t="n">
        <f aca="false">N253*K253</f>
        <v>0</v>
      </c>
      <c r="P253" s="18" t="n">
        <f aca="false">P252+O253</f>
        <v>26378.65</v>
      </c>
      <c r="Q253" s="11" t="s">
        <v>51</v>
      </c>
    </row>
    <row r="254" customFormat="false" ht="15" hidden="false" customHeight="false" outlineLevel="0" collapsed="false">
      <c r="A254" s="11" t="n">
        <v>253</v>
      </c>
      <c r="B254" s="11" t="s">
        <v>241</v>
      </c>
      <c r="C254" s="11" t="s">
        <v>184</v>
      </c>
      <c r="D254" s="11" t="s">
        <v>191</v>
      </c>
      <c r="E254" s="12" t="n">
        <v>78.1</v>
      </c>
      <c r="F254" s="13" t="n">
        <v>1</v>
      </c>
      <c r="G254" s="14"/>
      <c r="H254" s="15" t="n">
        <v>46182</v>
      </c>
      <c r="I254" s="15" t="n">
        <v>46185</v>
      </c>
      <c r="J254" s="16" t="n">
        <v>3</v>
      </c>
      <c r="K254" s="17" t="n">
        <v>-0.0168</v>
      </c>
      <c r="L254" s="11" t="s">
        <v>20</v>
      </c>
      <c r="M254" s="13" t="n">
        <f aca="false">IF(Q254="sim",0,IFERROR(INDEX(Premissas!$C$8:$C$15,MATCH(L254,Premissas!$A$8:$A$15,0)),0))</f>
        <v>0.035</v>
      </c>
      <c r="N254" s="18" t="n">
        <f aca="false">Premissas!$B$4*M254</f>
        <v>3500</v>
      </c>
      <c r="O254" s="18" t="n">
        <f aca="false">N254*K254</f>
        <v>-58.8</v>
      </c>
      <c r="P254" s="18" t="n">
        <f aca="false">P253+O254</f>
        <v>26319.85</v>
      </c>
      <c r="Q254" s="11" t="s">
        <v>51</v>
      </c>
    </row>
    <row r="255" customFormat="false" ht="15" hidden="false" customHeight="false" outlineLevel="0" collapsed="false">
      <c r="A255" s="11" t="n">
        <v>254</v>
      </c>
      <c r="B255" s="11" t="s">
        <v>159</v>
      </c>
      <c r="C255" s="11" t="s">
        <v>184</v>
      </c>
      <c r="D255" s="11" t="s">
        <v>197</v>
      </c>
      <c r="E255" s="12" t="n">
        <v>58.1</v>
      </c>
      <c r="F255" s="13" t="n">
        <v>0.9</v>
      </c>
      <c r="G255" s="14" t="n">
        <v>1.234</v>
      </c>
      <c r="H255" s="15" t="n">
        <v>46184</v>
      </c>
      <c r="I255" s="15" t="n">
        <v>46185</v>
      </c>
      <c r="J255" s="16" t="n">
        <v>1</v>
      </c>
      <c r="K255" s="17" t="n">
        <v>0.0767</v>
      </c>
      <c r="L255" s="11" t="s">
        <v>20</v>
      </c>
      <c r="M255" s="13" t="n">
        <f aca="false">IF(Q255="sim",0,IFERROR(INDEX(Premissas!$C$8:$C$15,MATCH(L255,Premissas!$A$8:$A$15,0)),0))</f>
        <v>0.035</v>
      </c>
      <c r="N255" s="18" t="n">
        <f aca="false">Premissas!$B$4*M255</f>
        <v>3500</v>
      </c>
      <c r="O255" s="18" t="n">
        <f aca="false">N255*K255</f>
        <v>268.45</v>
      </c>
      <c r="P255" s="18" t="n">
        <f aca="false">P254+O255</f>
        <v>26588.3</v>
      </c>
      <c r="Q255" s="11" t="s">
        <v>51</v>
      </c>
    </row>
    <row r="256" customFormat="false" ht="15" hidden="false" customHeight="false" outlineLevel="0" collapsed="false">
      <c r="A256" s="11" t="n">
        <v>255</v>
      </c>
      <c r="B256" s="11" t="s">
        <v>54</v>
      </c>
      <c r="C256" s="11" t="s">
        <v>184</v>
      </c>
      <c r="D256" s="11" t="s">
        <v>197</v>
      </c>
      <c r="E256" s="12" t="n">
        <v>60.1</v>
      </c>
      <c r="F256" s="13" t="n">
        <v>0.9</v>
      </c>
      <c r="G256" s="14" t="n">
        <v>1.323</v>
      </c>
      <c r="H256" s="15" t="n">
        <v>46184</v>
      </c>
      <c r="I256" s="15" t="n">
        <v>46185</v>
      </c>
      <c r="J256" s="16" t="n">
        <v>1</v>
      </c>
      <c r="K256" s="17" t="n">
        <v>0.0809</v>
      </c>
      <c r="L256" s="11" t="s">
        <v>14</v>
      </c>
      <c r="M256" s="13" t="n">
        <f aca="false">IF(Q256="sim",0,IFERROR(INDEX(Premissas!$C$8:$C$15,MATCH(L256,Premissas!$A$8:$A$15,0)),0))</f>
        <v>0.08</v>
      </c>
      <c r="N256" s="18" t="n">
        <f aca="false">Premissas!$B$4*M256</f>
        <v>8000</v>
      </c>
      <c r="O256" s="18" t="n">
        <f aca="false">N256*K256</f>
        <v>647.2</v>
      </c>
      <c r="P256" s="18" t="n">
        <f aca="false">P255+O256</f>
        <v>27235.5</v>
      </c>
      <c r="Q256" s="11" t="s">
        <v>51</v>
      </c>
    </row>
    <row r="257" customFormat="false" ht="15" hidden="false" customHeight="false" outlineLevel="0" collapsed="false">
      <c r="A257" s="11" t="n">
        <v>256</v>
      </c>
      <c r="B257" s="11" t="s">
        <v>242</v>
      </c>
      <c r="C257" s="11" t="s">
        <v>184</v>
      </c>
      <c r="D257" s="11" t="s">
        <v>197</v>
      </c>
      <c r="E257" s="12" t="n">
        <v>64.1</v>
      </c>
      <c r="F257" s="13" t="n">
        <v>0.8</v>
      </c>
      <c r="G257" s="14" t="n">
        <v>1.635</v>
      </c>
      <c r="H257" s="15" t="n">
        <v>46184</v>
      </c>
      <c r="I257" s="15" t="n">
        <v>46185</v>
      </c>
      <c r="J257" s="16" t="n">
        <v>1</v>
      </c>
      <c r="K257" s="17" t="n">
        <v>0.0502</v>
      </c>
      <c r="L257" s="11" t="s">
        <v>20</v>
      </c>
      <c r="M257" s="13" t="n">
        <f aca="false">IF(Q257="sim",0,IFERROR(INDEX(Premissas!$C$8:$C$15,MATCH(L257,Premissas!$A$8:$A$15,0)),0))</f>
        <v>0.035</v>
      </c>
      <c r="N257" s="18" t="n">
        <f aca="false">Premissas!$B$4*M257</f>
        <v>3500</v>
      </c>
      <c r="O257" s="18" t="n">
        <f aca="false">N257*K257</f>
        <v>175.7</v>
      </c>
      <c r="P257" s="18" t="n">
        <f aca="false">P256+O257</f>
        <v>27411.2</v>
      </c>
      <c r="Q257" s="11" t="s">
        <v>51</v>
      </c>
    </row>
    <row r="258" customFormat="false" ht="15" hidden="false" customHeight="false" outlineLevel="0" collapsed="false">
      <c r="A258" s="11" t="n">
        <v>257</v>
      </c>
      <c r="B258" s="11" t="s">
        <v>151</v>
      </c>
      <c r="C258" s="11" t="s">
        <v>188</v>
      </c>
      <c r="D258" s="11" t="s">
        <v>170</v>
      </c>
      <c r="E258" s="12"/>
      <c r="F258" s="13" t="n">
        <v>0.6154</v>
      </c>
      <c r="G258" s="14" t="n">
        <v>1.44</v>
      </c>
      <c r="H258" s="15" t="n">
        <v>46184</v>
      </c>
      <c r="I258" s="15" t="n">
        <v>46185</v>
      </c>
      <c r="J258" s="16" t="n">
        <v>1</v>
      </c>
      <c r="K258" s="17" t="n">
        <v>0.0526</v>
      </c>
      <c r="L258" s="11" t="s">
        <v>10</v>
      </c>
      <c r="M258" s="13" t="n">
        <f aca="false">IF(Q258="sim",0,IFERROR(INDEX(Premissas!$C$8:$C$15,MATCH(L258,Premissas!$A$8:$A$15,0)),0))</f>
        <v>0.1</v>
      </c>
      <c r="N258" s="18" t="n">
        <f aca="false">Premissas!$B$4*M258</f>
        <v>10000</v>
      </c>
      <c r="O258" s="18" t="n">
        <f aca="false">N258*K258</f>
        <v>526</v>
      </c>
      <c r="P258" s="18" t="n">
        <f aca="false">P257+O258</f>
        <v>27937.2</v>
      </c>
      <c r="Q258" s="11" t="s">
        <v>51</v>
      </c>
    </row>
    <row r="259" customFormat="false" ht="15" hidden="false" customHeight="false" outlineLevel="0" collapsed="false">
      <c r="A259" s="11" t="n">
        <v>258</v>
      </c>
      <c r="B259" s="11" t="s">
        <v>243</v>
      </c>
      <c r="C259" s="11" t="s">
        <v>184</v>
      </c>
      <c r="D259" s="11" t="s">
        <v>191</v>
      </c>
      <c r="E259" s="12" t="n">
        <v>81.1</v>
      </c>
      <c r="F259" s="13" t="n">
        <v>0.9</v>
      </c>
      <c r="G259" s="14" t="n">
        <v>2.277</v>
      </c>
      <c r="H259" s="15" t="n">
        <v>46184</v>
      </c>
      <c r="I259" s="15" t="n">
        <v>46188</v>
      </c>
      <c r="J259" s="16" t="n">
        <v>4</v>
      </c>
      <c r="K259" s="17" t="n">
        <v>0.0618</v>
      </c>
      <c r="L259" s="11" t="s">
        <v>20</v>
      </c>
      <c r="M259" s="13" t="n">
        <f aca="false">IF(Q259="sim",0,IFERROR(INDEX(Premissas!$C$8:$C$15,MATCH(L259,Premissas!$A$8:$A$15,0)),0))</f>
        <v>0.035</v>
      </c>
      <c r="N259" s="18" t="n">
        <f aca="false">Premissas!$B$4*M259</f>
        <v>3500</v>
      </c>
      <c r="O259" s="18" t="n">
        <f aca="false">N259*K259</f>
        <v>216.3</v>
      </c>
      <c r="P259" s="18" t="n">
        <f aca="false">P258+O259</f>
        <v>28153.5</v>
      </c>
      <c r="Q259" s="11" t="s">
        <v>51</v>
      </c>
    </row>
    <row r="260" customFormat="false" ht="15" hidden="false" customHeight="false" outlineLevel="0" collapsed="false">
      <c r="A260" s="11" t="n">
        <v>259</v>
      </c>
      <c r="B260" s="11" t="s">
        <v>244</v>
      </c>
      <c r="C260" s="11" t="s">
        <v>184</v>
      </c>
      <c r="D260" s="11" t="s">
        <v>191</v>
      </c>
      <c r="E260" s="12" t="n">
        <v>98.1</v>
      </c>
      <c r="F260" s="13" t="n">
        <v>0.9</v>
      </c>
      <c r="G260" s="14" t="n">
        <v>5.055</v>
      </c>
      <c r="H260" s="15" t="n">
        <v>46184</v>
      </c>
      <c r="I260" s="15" t="n">
        <v>46188</v>
      </c>
      <c r="J260" s="16" t="n">
        <v>4</v>
      </c>
      <c r="K260" s="17" t="n">
        <v>0.0509</v>
      </c>
      <c r="L260" s="11" t="s">
        <v>18</v>
      </c>
      <c r="M260" s="13" t="n">
        <f aca="false">IF(Q260="sim",0,IFERROR(INDEX(Premissas!$C$8:$C$15,MATCH(L260,Premissas!$A$8:$A$15,0)),0))</f>
        <v>0.06</v>
      </c>
      <c r="N260" s="18" t="n">
        <f aca="false">Premissas!$B$4*M260</f>
        <v>6000</v>
      </c>
      <c r="O260" s="18" t="n">
        <f aca="false">N260*K260</f>
        <v>305.4</v>
      </c>
      <c r="P260" s="18" t="n">
        <f aca="false">P259+O260</f>
        <v>28458.9</v>
      </c>
      <c r="Q260" s="11" t="s">
        <v>51</v>
      </c>
    </row>
    <row r="261" customFormat="false" ht="15" hidden="false" customHeight="false" outlineLevel="0" collapsed="false">
      <c r="A261" s="11" t="n">
        <v>260</v>
      </c>
      <c r="B261" s="11" t="s">
        <v>245</v>
      </c>
      <c r="C261" s="11" t="s">
        <v>184</v>
      </c>
      <c r="D261" s="11" t="s">
        <v>191</v>
      </c>
      <c r="E261" s="12" t="n">
        <v>75.1</v>
      </c>
      <c r="F261" s="13" t="n">
        <v>0.9</v>
      </c>
      <c r="G261" s="14" t="n">
        <v>2.008</v>
      </c>
      <c r="H261" s="15" t="n">
        <v>46184</v>
      </c>
      <c r="I261" s="15" t="n">
        <v>46188</v>
      </c>
      <c r="J261" s="16" t="n">
        <v>4</v>
      </c>
      <c r="K261" s="17" t="n">
        <v>0.053</v>
      </c>
      <c r="L261" s="11" t="s">
        <v>20</v>
      </c>
      <c r="M261" s="13" t="n">
        <f aca="false">IF(Q261="sim",0,IFERROR(INDEX(Premissas!$C$8:$C$15,MATCH(L261,Premissas!$A$8:$A$15,0)),0))</f>
        <v>0.035</v>
      </c>
      <c r="N261" s="18" t="n">
        <f aca="false">Premissas!$B$4*M261</f>
        <v>3500</v>
      </c>
      <c r="O261" s="18" t="n">
        <f aca="false">N261*K261</f>
        <v>185.5</v>
      </c>
      <c r="P261" s="18" t="n">
        <f aca="false">P260+O261</f>
        <v>28644.4</v>
      </c>
      <c r="Q261" s="11" t="s">
        <v>51</v>
      </c>
    </row>
    <row r="262" customFormat="false" ht="15" hidden="false" customHeight="false" outlineLevel="0" collapsed="false">
      <c r="A262" s="11" t="n">
        <v>261</v>
      </c>
      <c r="B262" s="11" t="s">
        <v>246</v>
      </c>
      <c r="C262" s="11" t="s">
        <v>184</v>
      </c>
      <c r="D262" s="11" t="s">
        <v>191</v>
      </c>
      <c r="E262" s="12" t="n">
        <v>73.1</v>
      </c>
      <c r="F262" s="13" t="n">
        <v>0.8</v>
      </c>
      <c r="G262" s="14"/>
      <c r="H262" s="15" t="n">
        <v>46185</v>
      </c>
      <c r="I262" s="15" t="n">
        <v>46189</v>
      </c>
      <c r="J262" s="16" t="n">
        <v>4</v>
      </c>
      <c r="K262" s="17" t="n">
        <v>-0.0489</v>
      </c>
      <c r="L262" s="11" t="s">
        <v>20</v>
      </c>
      <c r="M262" s="13" t="n">
        <f aca="false">IF(Q262="sim",0,IFERROR(INDEX(Premissas!$C$8:$C$15,MATCH(L262,Premissas!$A$8:$A$15,0)),0))</f>
        <v>0.035</v>
      </c>
      <c r="N262" s="18" t="n">
        <f aca="false">Premissas!$B$4*M262</f>
        <v>3500</v>
      </c>
      <c r="O262" s="18" t="n">
        <f aca="false">N262*K262</f>
        <v>-171.15</v>
      </c>
      <c r="P262" s="18" t="n">
        <f aca="false">P261+O262</f>
        <v>28473.25</v>
      </c>
      <c r="Q262" s="11" t="s">
        <v>51</v>
      </c>
    </row>
    <row r="263" customFormat="false" ht="15" hidden="false" customHeight="false" outlineLevel="0" collapsed="false">
      <c r="A263" s="11" t="n">
        <v>262</v>
      </c>
      <c r="B263" s="11" t="s">
        <v>235</v>
      </c>
      <c r="C263" s="11" t="s">
        <v>188</v>
      </c>
      <c r="D263" s="11" t="s">
        <v>160</v>
      </c>
      <c r="E263" s="12"/>
      <c r="F263" s="13" t="n">
        <v>0.6316</v>
      </c>
      <c r="G263" s="14" t="n">
        <v>1.474</v>
      </c>
      <c r="H263" s="15" t="n">
        <v>46171</v>
      </c>
      <c r="I263" s="15" t="n">
        <v>46191</v>
      </c>
      <c r="J263" s="16" t="n">
        <v>20</v>
      </c>
      <c r="K263" s="17" t="n">
        <v>0.0703</v>
      </c>
      <c r="L263" s="11" t="s">
        <v>10</v>
      </c>
      <c r="M263" s="13" t="n">
        <f aca="false">IF(Q263="sim",0,IFERROR(INDEX(Premissas!$C$8:$C$15,MATCH(L263,Premissas!$A$8:$A$15,0)),0))</f>
        <v>0.1</v>
      </c>
      <c r="N263" s="18" t="n">
        <f aca="false">Premissas!$B$4*M263</f>
        <v>10000</v>
      </c>
      <c r="O263" s="18" t="n">
        <f aca="false">N263*K263</f>
        <v>703</v>
      </c>
      <c r="P263" s="18" t="n">
        <f aca="false">P262+O263</f>
        <v>29176.25</v>
      </c>
      <c r="Q263" s="11" t="s">
        <v>51</v>
      </c>
    </row>
    <row r="264" customFormat="false" ht="15" hidden="false" customHeight="false" outlineLevel="0" collapsed="false">
      <c r="A264" s="11" t="n">
        <v>263</v>
      </c>
      <c r="B264" s="11" t="s">
        <v>247</v>
      </c>
      <c r="C264" s="11" t="s">
        <v>188</v>
      </c>
      <c r="D264" s="11" t="s">
        <v>160</v>
      </c>
      <c r="E264" s="12"/>
      <c r="F264" s="13" t="n">
        <v>0.6429</v>
      </c>
      <c r="G264" s="14" t="n">
        <v>1.411</v>
      </c>
      <c r="H264" s="15" t="n">
        <v>46185</v>
      </c>
      <c r="I264" s="15" t="n">
        <v>46191</v>
      </c>
      <c r="J264" s="16" t="n">
        <v>6</v>
      </c>
      <c r="K264" s="17" t="n">
        <v>0.0556</v>
      </c>
      <c r="L264" s="11" t="s">
        <v>10</v>
      </c>
      <c r="M264" s="13" t="n">
        <f aca="false">IF(Q264="sim",0,IFERROR(INDEX(Premissas!$C$8:$C$15,MATCH(L264,Premissas!$A$8:$A$15,0)),0))</f>
        <v>0.1</v>
      </c>
      <c r="N264" s="18" t="n">
        <f aca="false">Premissas!$B$4*M264</f>
        <v>10000</v>
      </c>
      <c r="O264" s="18" t="n">
        <f aca="false">N264*K264</f>
        <v>556</v>
      </c>
      <c r="P264" s="18" t="n">
        <f aca="false">P263+O264</f>
        <v>29732.25</v>
      </c>
      <c r="Q264" s="11" t="s">
        <v>51</v>
      </c>
    </row>
    <row r="265" customFormat="false" ht="15" hidden="false" customHeight="false" outlineLevel="0" collapsed="false">
      <c r="A265" s="11" t="n">
        <v>264</v>
      </c>
      <c r="B265" s="11" t="s">
        <v>179</v>
      </c>
      <c r="C265" s="11" t="s">
        <v>184</v>
      </c>
      <c r="D265" s="11" t="s">
        <v>197</v>
      </c>
      <c r="E265" s="12" t="n">
        <v>66.1</v>
      </c>
      <c r="F265" s="13" t="n">
        <v>0.7</v>
      </c>
      <c r="G265" s="14" t="n">
        <v>1.809</v>
      </c>
      <c r="H265" s="15" t="n">
        <v>46178</v>
      </c>
      <c r="I265" s="15" t="n">
        <v>46195</v>
      </c>
      <c r="J265" s="16" t="n">
        <v>17</v>
      </c>
      <c r="K265" s="17" t="n">
        <v>0.0505</v>
      </c>
      <c r="L265" s="11" t="s">
        <v>16</v>
      </c>
      <c r="M265" s="13" t="n">
        <f aca="false">IF(Q265="sim",0,IFERROR(INDEX(Premissas!$C$8:$C$15,MATCH(L265,Premissas!$A$8:$A$15,0)),0))</f>
        <v>0.07</v>
      </c>
      <c r="N265" s="18" t="n">
        <f aca="false">Premissas!$B$4*M265</f>
        <v>7000</v>
      </c>
      <c r="O265" s="18" t="n">
        <f aca="false">N265*K265</f>
        <v>353.5</v>
      </c>
      <c r="P265" s="18" t="n">
        <f aca="false">P264+O265</f>
        <v>30085.75</v>
      </c>
      <c r="Q265" s="11" t="s">
        <v>51</v>
      </c>
    </row>
    <row r="266" customFormat="false" ht="15" hidden="false" customHeight="false" outlineLevel="0" collapsed="false">
      <c r="A266" s="11" t="n">
        <v>265</v>
      </c>
      <c r="B266" s="11" t="s">
        <v>248</v>
      </c>
      <c r="C266" s="11" t="s">
        <v>184</v>
      </c>
      <c r="D266" s="11" t="s">
        <v>197</v>
      </c>
      <c r="E266" s="12" t="n">
        <v>63.1</v>
      </c>
      <c r="F266" s="13" t="n">
        <v>0.5</v>
      </c>
      <c r="G266" s="14" t="n">
        <v>1.912</v>
      </c>
      <c r="H266" s="15" t="n">
        <v>46188</v>
      </c>
      <c r="I266" s="15" t="n">
        <v>46195</v>
      </c>
      <c r="J266" s="16" t="n">
        <v>7</v>
      </c>
      <c r="K266" s="17" t="n">
        <v>0.0508</v>
      </c>
      <c r="L266" s="11" t="s">
        <v>14</v>
      </c>
      <c r="M266" s="13" t="n">
        <f aca="false">IF(Q266="sim",0,IFERROR(INDEX(Premissas!$C$8:$C$15,MATCH(L266,Premissas!$A$8:$A$15,0)),0))</f>
        <v>0.08</v>
      </c>
      <c r="N266" s="18" t="n">
        <f aca="false">Premissas!$B$4*M266</f>
        <v>8000</v>
      </c>
      <c r="O266" s="18" t="n">
        <f aca="false">N266*K266</f>
        <v>406.4</v>
      </c>
      <c r="P266" s="18" t="n">
        <f aca="false">P265+O266</f>
        <v>30492.15</v>
      </c>
      <c r="Q266" s="11" t="s">
        <v>51</v>
      </c>
    </row>
    <row r="267" customFormat="false" ht="15" hidden="false" customHeight="false" outlineLevel="0" collapsed="false">
      <c r="A267" s="11" t="n">
        <v>266</v>
      </c>
      <c r="B267" s="11" t="s">
        <v>249</v>
      </c>
      <c r="C267" s="11" t="s">
        <v>184</v>
      </c>
      <c r="D267" s="11" t="s">
        <v>197</v>
      </c>
      <c r="E267" s="12" t="n">
        <v>55.1</v>
      </c>
      <c r="F267" s="13" t="n">
        <v>0.7</v>
      </c>
      <c r="G267" s="14" t="n">
        <v>1.334</v>
      </c>
      <c r="H267" s="15" t="n">
        <v>46178</v>
      </c>
      <c r="I267" s="15" t="n">
        <v>46196</v>
      </c>
      <c r="J267" s="16" t="n">
        <v>18</v>
      </c>
      <c r="K267" s="17" t="n">
        <v>0.0517</v>
      </c>
      <c r="L267" s="11" t="s">
        <v>14</v>
      </c>
      <c r="M267" s="13" t="n">
        <f aca="false">IF(Q267="sim",0,IFERROR(INDEX(Premissas!$C$8:$C$15,MATCH(L267,Premissas!$A$8:$A$15,0)),0))</f>
        <v>0.08</v>
      </c>
      <c r="N267" s="18" t="n">
        <f aca="false">Premissas!$B$4*M267</f>
        <v>8000</v>
      </c>
      <c r="O267" s="18" t="n">
        <f aca="false">N267*K267</f>
        <v>413.6</v>
      </c>
      <c r="P267" s="18" t="n">
        <f aca="false">P266+O267</f>
        <v>30905.75</v>
      </c>
      <c r="Q267" s="11" t="s">
        <v>51</v>
      </c>
    </row>
    <row r="268" customFormat="false" ht="15" hidden="false" customHeight="false" outlineLevel="0" collapsed="false">
      <c r="A268" s="11" t="n">
        <v>267</v>
      </c>
      <c r="B268" s="11" t="s">
        <v>250</v>
      </c>
      <c r="C268" s="11" t="s">
        <v>188</v>
      </c>
      <c r="D268" s="11" t="s">
        <v>170</v>
      </c>
      <c r="E268" s="12"/>
      <c r="F268" s="13" t="n">
        <v>0.6</v>
      </c>
      <c r="G268" s="14" t="n">
        <v>1.477</v>
      </c>
      <c r="H268" s="15" t="n">
        <v>46189</v>
      </c>
      <c r="I268" s="15" t="n">
        <v>46198</v>
      </c>
      <c r="J268" s="16" t="n">
        <v>9</v>
      </c>
      <c r="K268" s="17" t="n">
        <v>-0.0509</v>
      </c>
      <c r="L268" s="11" t="s">
        <v>10</v>
      </c>
      <c r="M268" s="13" t="n">
        <f aca="false">IF(Q268="sim",0,IFERROR(INDEX(Premissas!$C$8:$C$15,MATCH(L268,Premissas!$A$8:$A$15,0)),0))</f>
        <v>0.1</v>
      </c>
      <c r="N268" s="18" t="n">
        <f aca="false">Premissas!$B$4*M268</f>
        <v>10000</v>
      </c>
      <c r="O268" s="18" t="n">
        <f aca="false">N268*K268</f>
        <v>-509</v>
      </c>
      <c r="P268" s="18" t="n">
        <f aca="false">P267+O268</f>
        <v>30396.75</v>
      </c>
      <c r="Q268" s="11" t="s">
        <v>51</v>
      </c>
    </row>
    <row r="269" customFormat="false" ht="15" hidden="false" customHeight="false" outlineLevel="0" collapsed="false">
      <c r="A269" s="11" t="n">
        <v>268</v>
      </c>
      <c r="B269" s="11" t="s">
        <v>251</v>
      </c>
      <c r="C269" s="11" t="s">
        <v>184</v>
      </c>
      <c r="D269" s="11" t="s">
        <v>197</v>
      </c>
      <c r="E269" s="12" t="n">
        <v>65.1</v>
      </c>
      <c r="F269" s="13" t="n">
        <v>0.5</v>
      </c>
      <c r="G269" s="14"/>
      <c r="H269" s="15" t="n">
        <v>46191</v>
      </c>
      <c r="I269" s="15" t="n">
        <v>46199</v>
      </c>
      <c r="J269" s="16" t="n">
        <v>8</v>
      </c>
      <c r="K269" s="17" t="n">
        <v>0.0502</v>
      </c>
      <c r="L269" s="11" t="s">
        <v>20</v>
      </c>
      <c r="M269" s="13" t="n">
        <f aca="false">IF(Q269="sim",0,IFERROR(INDEX(Premissas!$C$8:$C$15,MATCH(L269,Premissas!$A$8:$A$15,0)),0))</f>
        <v>0.035</v>
      </c>
      <c r="N269" s="18" t="n">
        <f aca="false">Premissas!$B$4*M269</f>
        <v>3500</v>
      </c>
      <c r="O269" s="18" t="n">
        <f aca="false">N269*K269</f>
        <v>175.7</v>
      </c>
      <c r="P269" s="18" t="n">
        <f aca="false">P268+O269</f>
        <v>30572.45</v>
      </c>
      <c r="Q269" s="11" t="s">
        <v>51</v>
      </c>
    </row>
    <row r="270" customFormat="false" ht="15" hidden="false" customHeight="false" outlineLevel="0" collapsed="false">
      <c r="A270" s="11" t="n">
        <v>269</v>
      </c>
      <c r="B270" s="11" t="s">
        <v>252</v>
      </c>
      <c r="C270" s="11" t="s">
        <v>188</v>
      </c>
      <c r="D270" s="11" t="s">
        <v>160</v>
      </c>
      <c r="E270" s="12"/>
      <c r="F270" s="13" t="n">
        <v>0.625</v>
      </c>
      <c r="G270" s="14" t="n">
        <v>1.435</v>
      </c>
      <c r="H270" s="15" t="n">
        <v>46203</v>
      </c>
      <c r="I270" s="15" t="n">
        <v>46203</v>
      </c>
      <c r="J270" s="16" t="n">
        <v>0</v>
      </c>
      <c r="K270" s="17" t="n">
        <v>0</v>
      </c>
      <c r="L270" s="11" t="s">
        <v>10</v>
      </c>
      <c r="M270" s="13" t="n">
        <f aca="false">IF(Q270="sim",0,IFERROR(INDEX(Premissas!$C$8:$C$15,MATCH(L270,Premissas!$A$8:$A$15,0)),0))</f>
        <v>0.1</v>
      </c>
      <c r="N270" s="18" t="n">
        <f aca="false">Premissas!$B$4*M270</f>
        <v>10000</v>
      </c>
      <c r="O270" s="18" t="n">
        <f aca="false">N270*K270</f>
        <v>0</v>
      </c>
      <c r="P270" s="18" t="n">
        <f aca="false">P269+O270</f>
        <v>30572.45</v>
      </c>
      <c r="Q270" s="11" t="s">
        <v>51</v>
      </c>
    </row>
    <row r="271" customFormat="false" ht="15" hidden="false" customHeight="false" outlineLevel="0" collapsed="false">
      <c r="A271" s="11" t="n">
        <v>270</v>
      </c>
      <c r="B271" s="11" t="s">
        <v>245</v>
      </c>
      <c r="C271" s="11" t="s">
        <v>188</v>
      </c>
      <c r="D271" s="11" t="s">
        <v>170</v>
      </c>
      <c r="E271" s="12"/>
      <c r="F271" s="13" t="n">
        <v>0.6</v>
      </c>
      <c r="G271" s="14" t="n">
        <v>1.471</v>
      </c>
      <c r="H271" s="15" t="n">
        <v>46213</v>
      </c>
      <c r="I271" s="15" t="n">
        <v>46216</v>
      </c>
      <c r="J271" s="16" t="n">
        <v>3</v>
      </c>
      <c r="K271" s="17" t="n">
        <v>-0.0508</v>
      </c>
      <c r="L271" s="11" t="s">
        <v>10</v>
      </c>
      <c r="M271" s="13" t="n">
        <f aca="false">IF(Q271="sim",0,IFERROR(INDEX(Premissas!$C$8:$C$15,MATCH(L271,Premissas!$A$8:$A$15,0)),0))</f>
        <v>0.1</v>
      </c>
      <c r="N271" s="18" t="n">
        <f aca="false">Premissas!$B$4*M271</f>
        <v>10000</v>
      </c>
      <c r="O271" s="18" t="n">
        <f aca="false">N271*K271</f>
        <v>-508</v>
      </c>
      <c r="P271" s="18" t="n">
        <f aca="false">P270+O271</f>
        <v>30064.45</v>
      </c>
      <c r="Q271" s="11" t="s">
        <v>51</v>
      </c>
    </row>
    <row r="272" customFormat="false" ht="15" hidden="false" customHeight="false" outlineLevel="0" collapsed="false">
      <c r="A272" s="11" t="n">
        <v>271</v>
      </c>
      <c r="B272" s="11" t="s">
        <v>253</v>
      </c>
      <c r="C272" s="11" t="s">
        <v>188</v>
      </c>
      <c r="D272" s="11" t="s">
        <v>170</v>
      </c>
      <c r="E272" s="12"/>
      <c r="F272" s="13" t="n">
        <v>0.607</v>
      </c>
      <c r="G272" s="14" t="n">
        <v>1.561</v>
      </c>
      <c r="H272" s="15" t="n">
        <v>46226</v>
      </c>
      <c r="I272" s="15" t="n">
        <v>46227</v>
      </c>
      <c r="J272" s="16" t="n">
        <v>1</v>
      </c>
      <c r="K272" s="17" t="n">
        <v>0.2314</v>
      </c>
      <c r="L272" s="11" t="s">
        <v>10</v>
      </c>
      <c r="M272" s="13" t="n">
        <f aca="false">IF(Q272="sim",0,IFERROR(INDEX(Premissas!$C$8:$C$15,MATCH(L272,Premissas!$A$8:$A$15,0)),0))</f>
        <v>0.1</v>
      </c>
      <c r="N272" s="18" t="n">
        <f aca="false">Premissas!$B$4*M272</f>
        <v>10000</v>
      </c>
      <c r="O272" s="18" t="n">
        <f aca="false">N272*K272</f>
        <v>2314</v>
      </c>
      <c r="P272" s="18" t="n">
        <f aca="false">P271+O272</f>
        <v>32378.45</v>
      </c>
      <c r="Q272" s="11" t="s">
        <v>51</v>
      </c>
    </row>
    <row r="273" customFormat="false" ht="15" hidden="false" customHeight="false" outlineLevel="0" collapsed="false">
      <c r="A273" s="11" t="n">
        <v>272</v>
      </c>
      <c r="B273" s="11" t="s">
        <v>253</v>
      </c>
      <c r="C273" s="11" t="s">
        <v>188</v>
      </c>
      <c r="D273" s="11" t="s">
        <v>170</v>
      </c>
      <c r="E273" s="12"/>
      <c r="F273" s="13" t="n">
        <v>0.607</v>
      </c>
      <c r="G273" s="14" t="n">
        <v>1.561</v>
      </c>
      <c r="H273" s="15" t="n">
        <v>46220</v>
      </c>
      <c r="I273" s="15" t="n">
        <v>46227</v>
      </c>
      <c r="J273" s="16" t="n">
        <v>7</v>
      </c>
      <c r="K273" s="17" t="n">
        <v>0.2584</v>
      </c>
      <c r="L273" s="11" t="s">
        <v>10</v>
      </c>
      <c r="M273" s="13" t="n">
        <f aca="false">IF(Q273="sim",0,IFERROR(INDEX(Premissas!$C$8:$C$15,MATCH(L273,Premissas!$A$8:$A$15,0)),0))</f>
        <v>0.1</v>
      </c>
      <c r="N273" s="18" t="n">
        <f aca="false">Premissas!$B$4*M273</f>
        <v>10000</v>
      </c>
      <c r="O273" s="18" t="n">
        <f aca="false">N273*K273</f>
        <v>2584</v>
      </c>
      <c r="P273" s="18" t="n">
        <f aca="false">P272+O273</f>
        <v>34962.45</v>
      </c>
      <c r="Q273" s="11" t="s">
        <v>51</v>
      </c>
    </row>
    <row r="274" customFormat="false" ht="15" hidden="false" customHeight="false" outlineLevel="0" collapsed="false">
      <c r="A274" s="11" t="n">
        <v>273</v>
      </c>
      <c r="B274" s="11" t="s">
        <v>254</v>
      </c>
      <c r="C274" s="11" t="s">
        <v>184</v>
      </c>
      <c r="D274" s="11" t="s">
        <v>197</v>
      </c>
      <c r="E274" s="12" t="n">
        <v>57.1</v>
      </c>
      <c r="F274" s="13" t="n">
        <v>0.8</v>
      </c>
      <c r="G274" s="14" t="n">
        <v>1.296</v>
      </c>
      <c r="H274" s="15" t="n">
        <v>46230</v>
      </c>
      <c r="I274" s="15" t="n">
        <v>46231</v>
      </c>
      <c r="J274" s="16" t="n">
        <v>1</v>
      </c>
      <c r="K274" s="17" t="n">
        <v>0.0657</v>
      </c>
      <c r="L274" s="11" t="s">
        <v>20</v>
      </c>
      <c r="M274" s="13" t="n">
        <f aca="false">IF(Q274="sim",0,IFERROR(INDEX(Premissas!$C$8:$C$15,MATCH(L274,Premissas!$A$8:$A$15,0)),0))</f>
        <v>0.035</v>
      </c>
      <c r="N274" s="18" t="n">
        <f aca="false">Premissas!$B$4*M274</f>
        <v>3500</v>
      </c>
      <c r="O274" s="18" t="n">
        <f aca="false">N274*K274</f>
        <v>229.95</v>
      </c>
      <c r="P274" s="18" t="n">
        <f aca="false">P273+O274</f>
        <v>35192.4</v>
      </c>
      <c r="Q274" s="11" t="s">
        <v>51</v>
      </c>
    </row>
    <row r="275" customFormat="false" ht="15" hidden="false" customHeight="false" outlineLevel="0" collapsed="false">
      <c r="A275" s="11" t="n">
        <v>274</v>
      </c>
      <c r="B275" s="11" t="s">
        <v>255</v>
      </c>
      <c r="C275" s="11" t="s">
        <v>184</v>
      </c>
      <c r="D275" s="11" t="s">
        <v>197</v>
      </c>
      <c r="E275" s="12" t="n">
        <v>61.1</v>
      </c>
      <c r="F275" s="13" t="n">
        <v>0.8</v>
      </c>
      <c r="G275" s="14" t="n">
        <v>1.494</v>
      </c>
      <c r="H275" s="15" t="n">
        <v>46231</v>
      </c>
      <c r="I275" s="15" t="n">
        <v>46234</v>
      </c>
      <c r="J275" s="16" t="n">
        <v>3</v>
      </c>
      <c r="K275" s="17" t="n">
        <v>0.1029</v>
      </c>
      <c r="L275" s="11" t="s">
        <v>14</v>
      </c>
      <c r="M275" s="13" t="n">
        <f aca="false">IF(Q275="sim",0,IFERROR(INDEX(Premissas!$C$8:$C$15,MATCH(L275,Premissas!$A$8:$A$15,0)),0))</f>
        <v>0.08</v>
      </c>
      <c r="N275" s="18" t="n">
        <f aca="false">Premissas!$B$4*M275</f>
        <v>8000</v>
      </c>
      <c r="O275" s="18" t="n">
        <f aca="false">N275*K275</f>
        <v>823.2</v>
      </c>
      <c r="P275" s="18" t="n">
        <f aca="false">P274+O275</f>
        <v>36015.6</v>
      </c>
      <c r="Q275" s="11" t="s">
        <v>51</v>
      </c>
    </row>
    <row r="276" customFormat="false" ht="15" hidden="false" customHeight="false" outlineLevel="0" collapsed="false">
      <c r="A276" s="11" t="n">
        <v>275</v>
      </c>
      <c r="B276" s="11" t="s">
        <v>256</v>
      </c>
      <c r="C276" s="11" t="s">
        <v>184</v>
      </c>
      <c r="D276" s="11" t="s">
        <v>197</v>
      </c>
      <c r="E276" s="12" t="n">
        <v>63.1</v>
      </c>
      <c r="F276" s="13" t="n">
        <v>0.7</v>
      </c>
      <c r="G276" s="14" t="n">
        <v>1.692</v>
      </c>
      <c r="H276" s="15" t="n">
        <v>46230</v>
      </c>
      <c r="I276" s="15" t="n">
        <v>46239</v>
      </c>
      <c r="J276" s="16" t="n">
        <v>9</v>
      </c>
      <c r="K276" s="17" t="n">
        <v>0.1304</v>
      </c>
      <c r="L276" s="11" t="s">
        <v>14</v>
      </c>
      <c r="M276" s="13" t="n">
        <f aca="false">IF(Q276="sim",0,IFERROR(INDEX(Premissas!$C$8:$C$15,MATCH(L276,Premissas!$A$8:$A$15,0)),0))</f>
        <v>0.08</v>
      </c>
      <c r="N276" s="18" t="n">
        <f aca="false">Premissas!$B$4*M276</f>
        <v>8000</v>
      </c>
      <c r="O276" s="18" t="n">
        <f aca="false">N276*K276</f>
        <v>1043.2</v>
      </c>
      <c r="P276" s="18" t="n">
        <f aca="false">P275+O276</f>
        <v>37058.8</v>
      </c>
      <c r="Q276" s="11" t="s">
        <v>51</v>
      </c>
    </row>
    <row r="277" customFormat="false" ht="15" hidden="false" customHeight="false" outlineLevel="0" collapsed="false">
      <c r="A277" s="11" t="n">
        <v>276</v>
      </c>
      <c r="B277" s="11" t="s">
        <v>257</v>
      </c>
      <c r="C277" s="11" t="s">
        <v>188</v>
      </c>
      <c r="D277" s="11" t="s">
        <v>160</v>
      </c>
      <c r="E277" s="12"/>
      <c r="F277" s="13" t="n">
        <v>0.642</v>
      </c>
      <c r="G277" s="14" t="n">
        <v>1.451</v>
      </c>
      <c r="H277" s="15" t="n">
        <v>46231</v>
      </c>
      <c r="I277" s="15" t="n">
        <v>46239</v>
      </c>
      <c r="J277" s="16" t="n">
        <v>8</v>
      </c>
      <c r="K277" s="17" t="n">
        <v>0.0555</v>
      </c>
      <c r="L277" s="11" t="s">
        <v>10</v>
      </c>
      <c r="M277" s="13" t="n">
        <f aca="false">IF(Q277="sim",0,IFERROR(INDEX(Premissas!$C$8:$C$15,MATCH(L277,Premissas!$A$8:$A$15,0)),0))</f>
        <v>0.1</v>
      </c>
      <c r="N277" s="18" t="n">
        <f aca="false">Premissas!$B$4*M277</f>
        <v>10000</v>
      </c>
      <c r="O277" s="18" t="n">
        <f aca="false">N277*K277</f>
        <v>555</v>
      </c>
      <c r="P277" s="18" t="n">
        <f aca="false">P276+O277</f>
        <v>37613.8</v>
      </c>
      <c r="Q277" s="11" t="s">
        <v>51</v>
      </c>
    </row>
    <row r="278" customFormat="false" ht="15" hidden="false" customHeight="false" outlineLevel="0" collapsed="false">
      <c r="A278" s="11" t="n">
        <v>277</v>
      </c>
      <c r="B278" s="11" t="s">
        <v>258</v>
      </c>
      <c r="C278" s="11" t="s">
        <v>184</v>
      </c>
      <c r="D278" s="11" t="s">
        <v>197</v>
      </c>
      <c r="E278" s="12" t="n">
        <v>65.1</v>
      </c>
      <c r="F278" s="13" t="n">
        <v>0.5</v>
      </c>
      <c r="G278" s="14"/>
      <c r="H278" s="15" t="n">
        <v>46232</v>
      </c>
      <c r="I278" s="15" t="n">
        <v>46244</v>
      </c>
      <c r="J278" s="16" t="n">
        <v>12</v>
      </c>
      <c r="K278" s="17" t="n">
        <v>0.0523</v>
      </c>
      <c r="L278" s="11" t="s">
        <v>20</v>
      </c>
      <c r="M278" s="13" t="n">
        <f aca="false">IF(Q278="sim",0,IFERROR(INDEX(Premissas!$C$8:$C$15,MATCH(L278,Premissas!$A$8:$A$15,0)),0))</f>
        <v>0.035</v>
      </c>
      <c r="N278" s="18" t="n">
        <f aca="false">Premissas!$B$4*M278</f>
        <v>3500</v>
      </c>
      <c r="O278" s="18" t="n">
        <f aca="false">N278*K278</f>
        <v>183.05</v>
      </c>
      <c r="P278" s="18" t="n">
        <f aca="false">P277+O278</f>
        <v>37796.85</v>
      </c>
      <c r="Q278" s="11" t="s">
        <v>51</v>
      </c>
    </row>
    <row r="279" customFormat="false" ht="15" hidden="false" customHeight="false" outlineLevel="0" collapsed="false">
      <c r="A279" s="11" t="n">
        <v>278</v>
      </c>
      <c r="B279" s="11" t="s">
        <v>259</v>
      </c>
      <c r="C279" s="11" t="s">
        <v>260</v>
      </c>
      <c r="D279" s="11" t="s">
        <v>197</v>
      </c>
      <c r="E279" s="12" t="n">
        <v>68.1</v>
      </c>
      <c r="F279" s="13" t="n">
        <v>1</v>
      </c>
      <c r="G279" s="14"/>
      <c r="H279" s="15" t="n">
        <v>46240</v>
      </c>
      <c r="I279" s="15" t="n">
        <v>46244</v>
      </c>
      <c r="J279" s="16" t="n">
        <v>4</v>
      </c>
      <c r="K279" s="17" t="n">
        <v>0.0508</v>
      </c>
      <c r="L279" s="11" t="s">
        <v>20</v>
      </c>
      <c r="M279" s="13" t="n">
        <f aca="false">IF(Q279="sim",0,IFERROR(INDEX(Premissas!$C$8:$C$15,MATCH(L279,Premissas!$A$8:$A$15,0)),0))</f>
        <v>0.035</v>
      </c>
      <c r="N279" s="18" t="n">
        <f aca="false">Premissas!$B$4*M279</f>
        <v>3500</v>
      </c>
      <c r="O279" s="18" t="n">
        <f aca="false">N279*K279</f>
        <v>177.8</v>
      </c>
      <c r="P279" s="18" t="n">
        <f aca="false">P278+O279</f>
        <v>37974.65</v>
      </c>
      <c r="Q279" s="11" t="s">
        <v>51</v>
      </c>
    </row>
    <row r="280" customFormat="false" ht="15" hidden="false" customHeight="false" outlineLevel="0" collapsed="false">
      <c r="A280" s="11" t="n">
        <v>279</v>
      </c>
      <c r="B280" s="11" t="s">
        <v>261</v>
      </c>
      <c r="C280" s="11" t="s">
        <v>188</v>
      </c>
      <c r="D280" s="11" t="s">
        <v>170</v>
      </c>
      <c r="E280" s="12"/>
      <c r="F280" s="13" t="n">
        <v>0.6047</v>
      </c>
      <c r="G280" s="14" t="n">
        <v>1.417</v>
      </c>
      <c r="H280" s="15" t="n">
        <v>46244</v>
      </c>
      <c r="I280" s="15" t="n">
        <v>46245</v>
      </c>
      <c r="J280" s="16" t="n">
        <v>1</v>
      </c>
      <c r="K280" s="17" t="n">
        <v>-0.0349</v>
      </c>
      <c r="L280" s="11" t="s">
        <v>10</v>
      </c>
      <c r="M280" s="13" t="n">
        <f aca="false">IF(Q280="sim",0,IFERROR(INDEX(Premissas!$C$8:$C$15,MATCH(L280,Premissas!$A$8:$A$15,0)),0))</f>
        <v>0.1</v>
      </c>
      <c r="N280" s="18" t="n">
        <f aca="false">Premissas!$B$4*M280</f>
        <v>10000</v>
      </c>
      <c r="O280" s="18" t="n">
        <f aca="false">N280*K280</f>
        <v>-349</v>
      </c>
      <c r="P280" s="18" t="n">
        <f aca="false">P279+O280</f>
        <v>37625.65</v>
      </c>
      <c r="Q280" s="11" t="s">
        <v>51</v>
      </c>
    </row>
    <row r="281" customFormat="false" ht="15" hidden="false" customHeight="false" outlineLevel="0" collapsed="false">
      <c r="A281" s="11" t="n">
        <v>280</v>
      </c>
      <c r="B281" s="11" t="s">
        <v>262</v>
      </c>
      <c r="C281" s="11" t="s">
        <v>263</v>
      </c>
      <c r="D281" s="11" t="s">
        <v>197</v>
      </c>
      <c r="E281" s="12" t="n">
        <v>50.1</v>
      </c>
      <c r="F281" s="13" t="n">
        <v>0.7</v>
      </c>
      <c r="G281" s="14" t="n">
        <v>1.114</v>
      </c>
      <c r="H281" s="15" t="n">
        <v>46233</v>
      </c>
      <c r="I281" s="15" t="n">
        <v>46247</v>
      </c>
      <c r="J281" s="16" t="n">
        <v>14</v>
      </c>
      <c r="K281" s="17" t="n">
        <v>0.0385</v>
      </c>
      <c r="L281" s="11" t="s">
        <v>22</v>
      </c>
      <c r="M281" s="13" t="n">
        <f aca="false">IF(Q281="sim",0,IFERROR(INDEX(Premissas!$C$8:$C$15,MATCH(L281,Premissas!$A$8:$A$15,0)),0))</f>
        <v>0</v>
      </c>
      <c r="N281" s="18" t="n">
        <f aca="false">Premissas!$B$4*M281</f>
        <v>0</v>
      </c>
      <c r="O281" s="18" t="n">
        <f aca="false">N281*K281</f>
        <v>0</v>
      </c>
      <c r="P281" s="18" t="n">
        <f aca="false">P280+O281</f>
        <v>37625.65</v>
      </c>
      <c r="Q281" s="11" t="s">
        <v>51</v>
      </c>
    </row>
    <row r="282" customFormat="false" ht="15" hidden="false" customHeight="false" outlineLevel="0" collapsed="false">
      <c r="A282" s="11" t="n">
        <v>281</v>
      </c>
      <c r="B282" s="11" t="s">
        <v>264</v>
      </c>
      <c r="C282" s="11" t="s">
        <v>260</v>
      </c>
      <c r="D282" s="11" t="s">
        <v>191</v>
      </c>
      <c r="E282" s="12" t="n">
        <v>78.1</v>
      </c>
      <c r="F282" s="13" t="n">
        <v>0.9</v>
      </c>
      <c r="G282" s="14" t="n">
        <v>1.913</v>
      </c>
      <c r="H282" s="15" t="n">
        <v>46246</v>
      </c>
      <c r="I282" s="15" t="n">
        <v>46247</v>
      </c>
      <c r="J282" s="16" t="n">
        <v>1</v>
      </c>
      <c r="K282" s="17" t="n">
        <v>0.0682</v>
      </c>
      <c r="L282" s="11" t="s">
        <v>20</v>
      </c>
      <c r="M282" s="13" t="n">
        <f aca="false">IF(Q282="sim",0,IFERROR(INDEX(Premissas!$C$8:$C$15,MATCH(L282,Premissas!$A$8:$A$15,0)),0))</f>
        <v>0.035</v>
      </c>
      <c r="N282" s="18" t="n">
        <f aca="false">Premissas!$B$4*M282</f>
        <v>3500</v>
      </c>
      <c r="O282" s="18" t="n">
        <f aca="false">N282*K282</f>
        <v>238.7</v>
      </c>
      <c r="P282" s="18" t="n">
        <f aca="false">P281+O282</f>
        <v>37864.35</v>
      </c>
      <c r="Q282" s="11" t="s">
        <v>51</v>
      </c>
    </row>
    <row r="283" customFormat="false" ht="15" hidden="false" customHeight="false" outlineLevel="0" collapsed="false">
      <c r="A283" s="11" t="n">
        <v>282</v>
      </c>
      <c r="B283" s="11" t="s">
        <v>265</v>
      </c>
      <c r="C283" s="11" t="s">
        <v>263</v>
      </c>
      <c r="D283" s="11" t="s">
        <v>197</v>
      </c>
      <c r="E283" s="12" t="n">
        <v>55.1</v>
      </c>
      <c r="F283" s="13" t="n">
        <v>0.7</v>
      </c>
      <c r="G283" s="14" t="n">
        <v>1.336</v>
      </c>
      <c r="H283" s="15" t="n">
        <v>46238</v>
      </c>
      <c r="I283" s="15" t="n">
        <v>46258</v>
      </c>
      <c r="J283" s="16" t="n">
        <v>20</v>
      </c>
      <c r="K283" s="17" t="n">
        <v>0.0325</v>
      </c>
      <c r="L283" s="11" t="s">
        <v>14</v>
      </c>
      <c r="M283" s="13" t="n">
        <f aca="false">IF(Q283="sim",0,IFERROR(INDEX(Premissas!$C$8:$C$15,MATCH(L283,Premissas!$A$8:$A$15,0)),0))</f>
        <v>0.08</v>
      </c>
      <c r="N283" s="18" t="n">
        <f aca="false">Premissas!$B$4*M283</f>
        <v>8000</v>
      </c>
      <c r="O283" s="18" t="n">
        <f aca="false">N283*K283</f>
        <v>260</v>
      </c>
      <c r="P283" s="18" t="n">
        <f aca="false">P282+O283</f>
        <v>38124.35</v>
      </c>
      <c r="Q283" s="11" t="s">
        <v>51</v>
      </c>
    </row>
    <row r="284" customFormat="false" ht="15" hidden="false" customHeight="false" outlineLevel="0" collapsed="false">
      <c r="A284" s="11" t="n">
        <v>283</v>
      </c>
      <c r="B284" s="11" t="s">
        <v>209</v>
      </c>
      <c r="C284" s="11" t="s">
        <v>260</v>
      </c>
      <c r="D284" s="11" t="s">
        <v>197</v>
      </c>
      <c r="E284" s="12" t="n">
        <v>53.1</v>
      </c>
      <c r="F284" s="13" t="n">
        <v>0.9</v>
      </c>
      <c r="G284" s="14" t="n">
        <v>1.15</v>
      </c>
      <c r="H284" s="15" t="n">
        <v>46254</v>
      </c>
      <c r="I284" s="15" t="n">
        <v>46258</v>
      </c>
      <c r="J284" s="16" t="n">
        <v>4</v>
      </c>
      <c r="K284" s="17" t="n">
        <v>0.064</v>
      </c>
      <c r="L284" s="11" t="s">
        <v>22</v>
      </c>
      <c r="M284" s="13" t="n">
        <f aca="false">IF(Q284="sim",0,IFERROR(INDEX(Premissas!$C$8:$C$15,MATCH(L284,Premissas!$A$8:$A$15,0)),0))</f>
        <v>0</v>
      </c>
      <c r="N284" s="18" t="n">
        <f aca="false">Premissas!$B$4*M284</f>
        <v>0</v>
      </c>
      <c r="O284" s="18" t="n">
        <f aca="false">N284*K284</f>
        <v>0</v>
      </c>
      <c r="P284" s="18" t="n">
        <f aca="false">P283+O284</f>
        <v>38124.35</v>
      </c>
      <c r="Q284" s="11" t="s">
        <v>51</v>
      </c>
    </row>
    <row r="285" customFormat="false" ht="15" hidden="false" customHeight="false" outlineLevel="0" collapsed="false">
      <c r="A285" s="11" t="n">
        <v>284</v>
      </c>
      <c r="B285" s="11" t="s">
        <v>266</v>
      </c>
      <c r="C285" s="11" t="s">
        <v>263</v>
      </c>
      <c r="D285" s="11" t="s">
        <v>197</v>
      </c>
      <c r="E285" s="12" t="n">
        <v>57.1</v>
      </c>
      <c r="F285" s="13" t="n">
        <v>0.7</v>
      </c>
      <c r="G285" s="14" t="n">
        <v>1.425</v>
      </c>
      <c r="H285" s="15" t="n">
        <v>46239</v>
      </c>
      <c r="I285" s="15" t="n">
        <v>46259</v>
      </c>
      <c r="J285" s="16" t="n">
        <v>20</v>
      </c>
      <c r="K285" s="17" t="n">
        <v>-0.0028</v>
      </c>
      <c r="L285" s="11" t="s">
        <v>14</v>
      </c>
      <c r="M285" s="13" t="n">
        <f aca="false">IF(Q285="sim",0,IFERROR(INDEX(Premissas!$C$8:$C$15,MATCH(L285,Premissas!$A$8:$A$15,0)),0))</f>
        <v>0.08</v>
      </c>
      <c r="N285" s="18" t="n">
        <f aca="false">Premissas!$B$4*M285</f>
        <v>8000</v>
      </c>
      <c r="O285" s="18" t="n">
        <f aca="false">N285*K285</f>
        <v>-22.4</v>
      </c>
      <c r="P285" s="18" t="n">
        <f aca="false">P284+O285</f>
        <v>38101.95</v>
      </c>
      <c r="Q285" s="11" t="s">
        <v>51</v>
      </c>
    </row>
    <row r="286" customFormat="false" ht="15" hidden="false" customHeight="false" outlineLevel="0" collapsed="false">
      <c r="A286" s="11" t="n">
        <v>285</v>
      </c>
      <c r="B286" s="11" t="s">
        <v>267</v>
      </c>
      <c r="C286" s="11" t="s">
        <v>260</v>
      </c>
      <c r="D286" s="11" t="s">
        <v>197</v>
      </c>
      <c r="E286" s="12" t="n">
        <v>48.1</v>
      </c>
      <c r="F286" s="13" t="n">
        <v>0.5</v>
      </c>
      <c r="G286" s="14" t="n">
        <v>1.43</v>
      </c>
      <c r="H286" s="15" t="n">
        <v>46258</v>
      </c>
      <c r="I286" s="15" t="n">
        <v>46260</v>
      </c>
      <c r="J286" s="16" t="n">
        <v>2</v>
      </c>
      <c r="K286" s="17" t="n">
        <v>0.0038</v>
      </c>
      <c r="L286" s="11" t="s">
        <v>22</v>
      </c>
      <c r="M286" s="13" t="n">
        <f aca="false">IF(Q286="sim",0,IFERROR(INDEX(Premissas!$C$8:$C$15,MATCH(L286,Premissas!$A$8:$A$15,0)),0))</f>
        <v>0</v>
      </c>
      <c r="N286" s="18" t="n">
        <f aca="false">Premissas!$B$4*M286</f>
        <v>0</v>
      </c>
      <c r="O286" s="18" t="n">
        <f aca="false">N286*K286</f>
        <v>0</v>
      </c>
      <c r="P286" s="18" t="n">
        <f aca="false">P285+O286</f>
        <v>38101.95</v>
      </c>
      <c r="Q286" s="11" t="s">
        <v>51</v>
      </c>
    </row>
    <row r="287" customFormat="false" ht="15" hidden="false" customHeight="false" outlineLevel="0" collapsed="false">
      <c r="A287" s="11" t="n">
        <v>286</v>
      </c>
      <c r="B287" s="11" t="s">
        <v>268</v>
      </c>
      <c r="C287" s="11" t="s">
        <v>260</v>
      </c>
      <c r="D287" s="11" t="s">
        <v>197</v>
      </c>
      <c r="E287" s="12" t="n">
        <v>55.1</v>
      </c>
      <c r="F287" s="13" t="n">
        <v>0.5</v>
      </c>
      <c r="G287" s="14" t="n">
        <v>1.645</v>
      </c>
      <c r="H287" s="15" t="n">
        <v>46240</v>
      </c>
      <c r="I287" s="15" t="n">
        <v>46260</v>
      </c>
      <c r="J287" s="16" t="n">
        <v>20</v>
      </c>
      <c r="K287" s="17" t="n">
        <v>-0.0503</v>
      </c>
      <c r="L287" s="11" t="s">
        <v>14</v>
      </c>
      <c r="M287" s="13" t="n">
        <f aca="false">IF(Q287="sim",0,IFERROR(INDEX(Premissas!$C$8:$C$15,MATCH(L287,Premissas!$A$8:$A$15,0)),0))</f>
        <v>0.08</v>
      </c>
      <c r="N287" s="18" t="n">
        <f aca="false">Premissas!$B$4*M287</f>
        <v>8000</v>
      </c>
      <c r="O287" s="18" t="n">
        <f aca="false">N287*K287</f>
        <v>-402.4</v>
      </c>
      <c r="P287" s="18" t="n">
        <f aca="false">P286+O287</f>
        <v>37699.55</v>
      </c>
      <c r="Q287" s="11" t="s">
        <v>51</v>
      </c>
    </row>
    <row r="288" customFormat="false" ht="15" hidden="false" customHeight="false" outlineLevel="0" collapsed="false">
      <c r="A288" s="11" t="n">
        <v>287</v>
      </c>
      <c r="B288" s="11" t="s">
        <v>130</v>
      </c>
      <c r="C288" s="11" t="s">
        <v>188</v>
      </c>
      <c r="D288" s="11" t="s">
        <v>160</v>
      </c>
      <c r="E288" s="12"/>
      <c r="F288" s="13" t="n">
        <v>0.6333</v>
      </c>
      <c r="G288" s="14" t="n">
        <v>1.448</v>
      </c>
      <c r="H288" s="15" t="n">
        <v>46259</v>
      </c>
      <c r="I288" s="15" t="n">
        <v>46262</v>
      </c>
      <c r="J288" s="16" t="n">
        <v>3</v>
      </c>
      <c r="K288" s="17" t="n">
        <v>-0.012</v>
      </c>
      <c r="L288" s="11" t="s">
        <v>10</v>
      </c>
      <c r="M288" s="13" t="n">
        <f aca="false">IF(Q288="sim",0,IFERROR(INDEX(Premissas!$C$8:$C$15,MATCH(L288,Premissas!$A$8:$A$15,0)),0))</f>
        <v>0.1</v>
      </c>
      <c r="N288" s="18" t="n">
        <f aca="false">Premissas!$B$4*M288</f>
        <v>10000</v>
      </c>
      <c r="O288" s="18" t="n">
        <f aca="false">N288*K288</f>
        <v>-120</v>
      </c>
      <c r="P288" s="18" t="n">
        <f aca="false">P287+O288</f>
        <v>37579.55</v>
      </c>
      <c r="Q288" s="11" t="s">
        <v>51</v>
      </c>
    </row>
    <row r="289" customFormat="false" ht="15" hidden="false" customHeight="false" outlineLevel="0" collapsed="false">
      <c r="A289" s="11" t="n">
        <v>288</v>
      </c>
      <c r="B289" s="11" t="s">
        <v>269</v>
      </c>
      <c r="C289" s="11" t="s">
        <v>260</v>
      </c>
      <c r="D289" s="11" t="s">
        <v>191</v>
      </c>
      <c r="E289" s="12" t="n">
        <v>80.1</v>
      </c>
      <c r="F289" s="13" t="n">
        <v>0.8</v>
      </c>
      <c r="G289" s="14" t="n">
        <v>2.22</v>
      </c>
      <c r="H289" s="15" t="n">
        <v>46260</v>
      </c>
      <c r="I289" s="15" t="n">
        <v>46265</v>
      </c>
      <c r="J289" s="16" t="n">
        <v>5</v>
      </c>
      <c r="K289" s="17" t="n">
        <v>-0.0732</v>
      </c>
      <c r="L289" s="11" t="s">
        <v>20</v>
      </c>
      <c r="M289" s="13" t="n">
        <f aca="false">IF(Q289="sim",0,IFERROR(INDEX(Premissas!$C$8:$C$15,MATCH(L289,Premissas!$A$8:$A$15,0)),0))</f>
        <v>0.035</v>
      </c>
      <c r="N289" s="18" t="n">
        <f aca="false">Premissas!$B$4*M289</f>
        <v>3500</v>
      </c>
      <c r="O289" s="18" t="n">
        <f aca="false">N289*K289</f>
        <v>-256.2</v>
      </c>
      <c r="P289" s="18" t="n">
        <f aca="false">P288+O289</f>
        <v>37323.35</v>
      </c>
      <c r="Q289" s="11" t="s">
        <v>51</v>
      </c>
    </row>
    <row r="290" customFormat="false" ht="15" hidden="false" customHeight="false" outlineLevel="0" collapsed="false">
      <c r="A290" s="11" t="n">
        <v>289</v>
      </c>
      <c r="B290" s="11" t="s">
        <v>270</v>
      </c>
      <c r="C290" s="11" t="s">
        <v>260</v>
      </c>
      <c r="D290" s="11" t="s">
        <v>197</v>
      </c>
      <c r="E290" s="12" t="n">
        <v>52.1</v>
      </c>
      <c r="F290" s="13" t="n">
        <v>0.9</v>
      </c>
      <c r="G290" s="14" t="n">
        <v>1.108</v>
      </c>
      <c r="H290" s="15" t="n">
        <v>46260</v>
      </c>
      <c r="I290" s="15" t="n">
        <v>46265</v>
      </c>
      <c r="J290" s="16" t="n">
        <v>5</v>
      </c>
      <c r="K290" s="17" t="n">
        <v>0.0521</v>
      </c>
      <c r="L290" s="11" t="s">
        <v>22</v>
      </c>
      <c r="M290" s="13" t="n">
        <f aca="false">IF(Q290="sim",0,IFERROR(INDEX(Premissas!$C$8:$C$15,MATCH(L290,Premissas!$A$8:$A$15,0)),0))</f>
        <v>0</v>
      </c>
      <c r="N290" s="18" t="n">
        <f aca="false">Premissas!$B$4*M290</f>
        <v>0</v>
      </c>
      <c r="O290" s="18" t="n">
        <f aca="false">N290*K290</f>
        <v>0</v>
      </c>
      <c r="P290" s="18" t="n">
        <f aca="false">P289+O290</f>
        <v>37323.35</v>
      </c>
      <c r="Q290" s="11" t="s">
        <v>51</v>
      </c>
    </row>
    <row r="291" customFormat="false" ht="15" hidden="false" customHeight="false" outlineLevel="0" collapsed="false">
      <c r="A291" s="11" t="n">
        <v>290</v>
      </c>
      <c r="B291" s="11" t="s">
        <v>271</v>
      </c>
      <c r="C291" s="11" t="s">
        <v>260</v>
      </c>
      <c r="D291" s="11" t="s">
        <v>197</v>
      </c>
      <c r="E291" s="12" t="n">
        <v>52.1</v>
      </c>
      <c r="F291" s="13" t="n">
        <v>0.8</v>
      </c>
      <c r="G291" s="14" t="n">
        <v>1.23</v>
      </c>
      <c r="H291" s="15" t="n">
        <v>46248</v>
      </c>
      <c r="I291" s="15" t="n">
        <v>46266</v>
      </c>
      <c r="J291" s="16" t="n">
        <v>18</v>
      </c>
      <c r="K291" s="17" t="n">
        <v>-0.1184</v>
      </c>
      <c r="L291" s="11" t="s">
        <v>22</v>
      </c>
      <c r="M291" s="13" t="n">
        <f aca="false">IF(Q291="sim",0,IFERROR(INDEX(Premissas!$C$8:$C$15,MATCH(L291,Premissas!$A$8:$A$15,0)),0))</f>
        <v>0</v>
      </c>
      <c r="N291" s="18" t="n">
        <f aca="false">Premissas!$B$4*M291</f>
        <v>0</v>
      </c>
      <c r="O291" s="18" t="n">
        <f aca="false">N291*K291</f>
        <v>-0</v>
      </c>
      <c r="P291" s="18" t="n">
        <f aca="false">P290+O291</f>
        <v>37323.35</v>
      </c>
      <c r="Q291" s="11" t="s">
        <v>51</v>
      </c>
    </row>
    <row r="292" customFormat="false" ht="15" hidden="false" customHeight="false" outlineLevel="0" collapsed="false">
      <c r="A292" s="11" t="n">
        <v>291</v>
      </c>
      <c r="B292" s="11" t="s">
        <v>272</v>
      </c>
      <c r="C292" s="11" t="s">
        <v>260</v>
      </c>
      <c r="D292" s="11" t="s">
        <v>197</v>
      </c>
      <c r="E292" s="12" t="n">
        <v>64.1</v>
      </c>
      <c r="F292" s="13" t="n">
        <v>0.7</v>
      </c>
      <c r="G292" s="14" t="n">
        <v>1.713</v>
      </c>
      <c r="H292" s="15" t="n">
        <v>46247</v>
      </c>
      <c r="I292" s="15" t="n">
        <v>46267</v>
      </c>
      <c r="J292" s="16" t="n">
        <v>20</v>
      </c>
      <c r="K292" s="17" t="n">
        <v>-0.0317</v>
      </c>
      <c r="L292" s="11" t="s">
        <v>20</v>
      </c>
      <c r="M292" s="13" t="n">
        <f aca="false">IF(Q292="sim",0,IFERROR(INDEX(Premissas!$C$8:$C$15,MATCH(L292,Premissas!$A$8:$A$15,0)),0))</f>
        <v>0.035</v>
      </c>
      <c r="N292" s="18" t="n">
        <f aca="false">Premissas!$B$4*M292</f>
        <v>3500</v>
      </c>
      <c r="O292" s="18" t="n">
        <f aca="false">N292*K292</f>
        <v>-110.95</v>
      </c>
      <c r="P292" s="18" t="n">
        <f aca="false">P291+O292</f>
        <v>37212.4</v>
      </c>
      <c r="Q292" s="11" t="s">
        <v>51</v>
      </c>
    </row>
    <row r="293" customFormat="false" ht="15" hidden="false" customHeight="false" outlineLevel="0" collapsed="false">
      <c r="A293" s="11" t="n">
        <v>292</v>
      </c>
      <c r="B293" s="11" t="s">
        <v>273</v>
      </c>
      <c r="C293" s="11" t="s">
        <v>260</v>
      </c>
      <c r="D293" s="11" t="s">
        <v>191</v>
      </c>
      <c r="E293" s="12" t="n">
        <v>93.1</v>
      </c>
      <c r="F293" s="13" t="n">
        <v>0.8</v>
      </c>
      <c r="G293" s="14" t="n">
        <v>3.549</v>
      </c>
      <c r="H293" s="15" t="n">
        <v>46254</v>
      </c>
      <c r="I293" s="15" t="n">
        <v>46268</v>
      </c>
      <c r="J293" s="16" t="n">
        <v>14</v>
      </c>
      <c r="K293" s="17" t="n">
        <v>-0.0253</v>
      </c>
      <c r="L293" s="11" t="s">
        <v>18</v>
      </c>
      <c r="M293" s="13" t="n">
        <f aca="false">IF(Q293="sim",0,IFERROR(INDEX(Premissas!$C$8:$C$15,MATCH(L293,Premissas!$A$8:$A$15,0)),0))</f>
        <v>0.06</v>
      </c>
      <c r="N293" s="18" t="n">
        <f aca="false">Premissas!$B$4*M293</f>
        <v>6000</v>
      </c>
      <c r="O293" s="18" t="n">
        <f aca="false">N293*K293</f>
        <v>-151.8</v>
      </c>
      <c r="P293" s="18" t="n">
        <f aca="false">P292+O293</f>
        <v>37060.6</v>
      </c>
      <c r="Q293" s="11" t="s">
        <v>51</v>
      </c>
    </row>
    <row r="294" customFormat="false" ht="15" hidden="false" customHeight="false" outlineLevel="0" collapsed="false">
      <c r="A294" s="11" t="n">
        <v>293</v>
      </c>
      <c r="B294" s="11" t="s">
        <v>274</v>
      </c>
      <c r="C294" s="11" t="s">
        <v>260</v>
      </c>
      <c r="D294" s="11" t="s">
        <v>197</v>
      </c>
      <c r="E294" s="12" t="n">
        <v>48.1</v>
      </c>
      <c r="F294" s="13" t="n">
        <v>0.8</v>
      </c>
      <c r="G294" s="14" t="n">
        <v>1.106</v>
      </c>
      <c r="H294" s="15" t="n">
        <v>46259</v>
      </c>
      <c r="I294" s="15" t="n">
        <v>46269</v>
      </c>
      <c r="J294" s="16" t="n">
        <v>10</v>
      </c>
      <c r="K294" s="17" t="n">
        <v>0.05</v>
      </c>
      <c r="L294" s="11" t="s">
        <v>22</v>
      </c>
      <c r="M294" s="13" t="n">
        <f aca="false">IF(Q294="sim",0,IFERROR(INDEX(Premissas!$C$8:$C$15,MATCH(L294,Premissas!$A$8:$A$15,0)),0))</f>
        <v>0</v>
      </c>
      <c r="N294" s="18" t="n">
        <f aca="false">Premissas!$B$4*M294</f>
        <v>0</v>
      </c>
      <c r="O294" s="18" t="n">
        <f aca="false">N294*K294</f>
        <v>0</v>
      </c>
      <c r="P294" s="18" t="n">
        <f aca="false">P293+O294</f>
        <v>37060.6</v>
      </c>
      <c r="Q294" s="11" t="s">
        <v>51</v>
      </c>
    </row>
    <row r="295" customFormat="false" ht="15" hidden="false" customHeight="false" outlineLevel="0" collapsed="false">
      <c r="A295" s="11" t="n">
        <v>294</v>
      </c>
      <c r="B295" s="11" t="s">
        <v>243</v>
      </c>
      <c r="C295" s="11" t="s">
        <v>260</v>
      </c>
      <c r="D295" s="11" t="s">
        <v>191</v>
      </c>
      <c r="E295" s="12" t="n">
        <v>86.1</v>
      </c>
      <c r="F295" s="13" t="n">
        <v>0.9</v>
      </c>
      <c r="G295" s="14" t="n">
        <v>2.321</v>
      </c>
      <c r="H295" s="15" t="n">
        <v>46262</v>
      </c>
      <c r="I295" s="15" t="n">
        <v>46269</v>
      </c>
      <c r="J295" s="16" t="n">
        <v>7</v>
      </c>
      <c r="K295" s="17" t="n">
        <v>0.0634</v>
      </c>
      <c r="L295" s="11" t="s">
        <v>18</v>
      </c>
      <c r="M295" s="13" t="n">
        <f aca="false">IF(Q295="sim",0,IFERROR(INDEX(Premissas!$C$8:$C$15,MATCH(L295,Premissas!$A$8:$A$15,0)),0))</f>
        <v>0.06</v>
      </c>
      <c r="N295" s="18" t="n">
        <f aca="false">Premissas!$B$4*M295</f>
        <v>6000</v>
      </c>
      <c r="O295" s="18" t="n">
        <f aca="false">N295*K295</f>
        <v>380.4</v>
      </c>
      <c r="P295" s="18" t="n">
        <f aca="false">P294+O295</f>
        <v>37441</v>
      </c>
      <c r="Q295" s="11" t="s">
        <v>51</v>
      </c>
    </row>
    <row r="296" customFormat="false" ht="15" hidden="false" customHeight="false" outlineLevel="0" collapsed="false">
      <c r="A296" s="11" t="n">
        <v>295</v>
      </c>
      <c r="B296" s="11" t="s">
        <v>275</v>
      </c>
      <c r="C296" s="11" t="s">
        <v>260</v>
      </c>
      <c r="D296" s="11" t="s">
        <v>191</v>
      </c>
      <c r="E296" s="12" t="n">
        <v>72.1</v>
      </c>
      <c r="F296" s="13" t="n">
        <v>0.9</v>
      </c>
      <c r="G296" s="14" t="n">
        <v>1.73</v>
      </c>
      <c r="H296" s="15" t="n">
        <v>46252</v>
      </c>
      <c r="I296" s="15" t="n">
        <v>46272</v>
      </c>
      <c r="J296" s="16" t="n">
        <v>20</v>
      </c>
      <c r="K296" s="17" t="n">
        <v>-0.0977</v>
      </c>
      <c r="L296" s="11" t="s">
        <v>20</v>
      </c>
      <c r="M296" s="13" t="n">
        <f aca="false">IF(Q296="sim",0,IFERROR(INDEX(Premissas!$C$8:$C$15,MATCH(L296,Premissas!$A$8:$A$15,0)),0))</f>
        <v>0.035</v>
      </c>
      <c r="N296" s="18" t="n">
        <f aca="false">Premissas!$B$4*M296</f>
        <v>3500</v>
      </c>
      <c r="O296" s="18" t="n">
        <f aca="false">N296*K296</f>
        <v>-341.95</v>
      </c>
      <c r="P296" s="18" t="n">
        <f aca="false">P295+O296</f>
        <v>37099.05</v>
      </c>
      <c r="Q296" s="11" t="s">
        <v>51</v>
      </c>
    </row>
    <row r="297" customFormat="false" ht="15" hidden="false" customHeight="false" outlineLevel="0" collapsed="false">
      <c r="A297" s="11" t="n">
        <v>296</v>
      </c>
      <c r="B297" s="11" t="s">
        <v>276</v>
      </c>
      <c r="C297" s="11" t="s">
        <v>260</v>
      </c>
      <c r="D297" s="11" t="s">
        <v>197</v>
      </c>
      <c r="E297" s="12" t="n">
        <v>47.1</v>
      </c>
      <c r="F297" s="13" t="n">
        <v>0.7</v>
      </c>
      <c r="G297" s="14" t="n">
        <v>1.182</v>
      </c>
      <c r="H297" s="15" t="n">
        <v>46253</v>
      </c>
      <c r="I297" s="15" t="n">
        <v>46273</v>
      </c>
      <c r="J297" s="16" t="n">
        <v>20</v>
      </c>
      <c r="K297" s="17" t="n">
        <v>-0.0617</v>
      </c>
      <c r="L297" s="11" t="s">
        <v>22</v>
      </c>
      <c r="M297" s="13" t="n">
        <f aca="false">IF(Q297="sim",0,IFERROR(INDEX(Premissas!$C$8:$C$15,MATCH(L297,Premissas!$A$8:$A$15,0)),0))</f>
        <v>0</v>
      </c>
      <c r="N297" s="18" t="n">
        <f aca="false">Premissas!$B$4*M297</f>
        <v>0</v>
      </c>
      <c r="O297" s="18" t="n">
        <f aca="false">N297*K297</f>
        <v>-0</v>
      </c>
      <c r="P297" s="18" t="n">
        <f aca="false">P296+O297</f>
        <v>37099.05</v>
      </c>
      <c r="Q297" s="11" t="s">
        <v>51</v>
      </c>
    </row>
    <row r="298" customFormat="false" ht="15" hidden="false" customHeight="false" outlineLevel="0" collapsed="false">
      <c r="A298" s="11" t="n">
        <v>297</v>
      </c>
      <c r="B298" s="11" t="s">
        <v>277</v>
      </c>
      <c r="C298" s="11" t="s">
        <v>260</v>
      </c>
      <c r="D298" s="11" t="s">
        <v>197</v>
      </c>
      <c r="E298" s="12" t="n">
        <v>64.1</v>
      </c>
      <c r="F298" s="13" t="n">
        <v>0.9</v>
      </c>
      <c r="G298" s="14"/>
      <c r="H298" s="15" t="n">
        <v>46267</v>
      </c>
      <c r="I298" s="15" t="n">
        <v>46273</v>
      </c>
      <c r="J298" s="16" t="n">
        <v>6</v>
      </c>
      <c r="K298" s="17" t="n">
        <v>0.082</v>
      </c>
      <c r="L298" s="11" t="s">
        <v>20</v>
      </c>
      <c r="M298" s="13" t="n">
        <f aca="false">IF(Q298="sim",0,IFERROR(INDEX(Premissas!$C$8:$C$15,MATCH(L298,Premissas!$A$8:$A$15,0)),0))</f>
        <v>0.035</v>
      </c>
      <c r="N298" s="18" t="n">
        <f aca="false">Premissas!$B$4*M298</f>
        <v>3500</v>
      </c>
      <c r="O298" s="18" t="n">
        <f aca="false">N298*K298</f>
        <v>287</v>
      </c>
      <c r="P298" s="18" t="n">
        <f aca="false">P297+O298</f>
        <v>37386.05</v>
      </c>
      <c r="Q298" s="11" t="s">
        <v>51</v>
      </c>
    </row>
    <row r="299" customFormat="false" ht="15" hidden="false" customHeight="false" outlineLevel="0" collapsed="false">
      <c r="A299" s="11" t="n">
        <v>298</v>
      </c>
      <c r="B299" s="11" t="s">
        <v>278</v>
      </c>
      <c r="C299" s="11" t="s">
        <v>188</v>
      </c>
      <c r="D299" s="11" t="s">
        <v>170</v>
      </c>
      <c r="E299" s="12"/>
      <c r="F299" s="13" t="n">
        <v>0.6</v>
      </c>
      <c r="G299" s="14" t="n">
        <v>1.412</v>
      </c>
      <c r="H299" s="15" t="n">
        <v>46268</v>
      </c>
      <c r="I299" s="15" t="n">
        <v>46275</v>
      </c>
      <c r="J299" s="16" t="n">
        <v>7</v>
      </c>
      <c r="K299" s="17" t="n">
        <v>-0.0369</v>
      </c>
      <c r="L299" s="11" t="s">
        <v>10</v>
      </c>
      <c r="M299" s="13" t="n">
        <f aca="false">IF(Q299="sim",0,IFERROR(INDEX(Premissas!$C$8:$C$15,MATCH(L299,Premissas!$A$8:$A$15,0)),0))</f>
        <v>0.1</v>
      </c>
      <c r="N299" s="18" t="n">
        <f aca="false">Premissas!$B$4*M299</f>
        <v>10000</v>
      </c>
      <c r="O299" s="18" t="n">
        <f aca="false">N299*K299</f>
        <v>-369</v>
      </c>
      <c r="P299" s="18" t="n">
        <f aca="false">P298+O299</f>
        <v>37017.05</v>
      </c>
      <c r="Q299" s="11" t="s">
        <v>51</v>
      </c>
    </row>
    <row r="300" customFormat="false" ht="15" hidden="false" customHeight="false" outlineLevel="0" collapsed="false">
      <c r="A300" s="11" t="n">
        <v>299</v>
      </c>
      <c r="B300" s="11" t="s">
        <v>279</v>
      </c>
      <c r="C300" s="11" t="s">
        <v>260</v>
      </c>
      <c r="D300" s="11" t="s">
        <v>197</v>
      </c>
      <c r="E300" s="12" t="n">
        <v>62.1</v>
      </c>
      <c r="F300" s="13" t="n">
        <v>0.8</v>
      </c>
      <c r="G300" s="14" t="n">
        <v>1.549</v>
      </c>
      <c r="H300" s="15" t="n">
        <v>46255</v>
      </c>
      <c r="I300" s="15" t="n">
        <v>46275</v>
      </c>
      <c r="J300" s="16" t="n">
        <v>20</v>
      </c>
      <c r="K300" s="17" t="n">
        <v>-0.0867</v>
      </c>
      <c r="L300" s="11" t="s">
        <v>14</v>
      </c>
      <c r="M300" s="13" t="n">
        <f aca="false">IF(Q300="sim",0,IFERROR(INDEX(Premissas!$C$8:$C$15,MATCH(L300,Premissas!$A$8:$A$15,0)),0))</f>
        <v>0.08</v>
      </c>
      <c r="N300" s="18" t="n">
        <f aca="false">Premissas!$B$4*M300</f>
        <v>8000</v>
      </c>
      <c r="O300" s="18" t="n">
        <f aca="false">N300*K300</f>
        <v>-693.6</v>
      </c>
      <c r="P300" s="18" t="n">
        <f aca="false">P299+O300</f>
        <v>36323.45</v>
      </c>
      <c r="Q300" s="11" t="s">
        <v>51</v>
      </c>
    </row>
    <row r="301" customFormat="false" ht="15" hidden="false" customHeight="false" outlineLevel="0" collapsed="false">
      <c r="A301" s="11" t="n">
        <v>300</v>
      </c>
      <c r="B301" s="11" t="s">
        <v>280</v>
      </c>
      <c r="C301" s="11" t="s">
        <v>260</v>
      </c>
      <c r="D301" s="11" t="s">
        <v>191</v>
      </c>
      <c r="E301" s="12" t="n">
        <v>87.1</v>
      </c>
      <c r="F301" s="13" t="n">
        <v>0.8</v>
      </c>
      <c r="G301" s="14" t="n">
        <v>2.629</v>
      </c>
      <c r="H301" s="15" t="n">
        <v>46255</v>
      </c>
      <c r="I301" s="15" t="n">
        <v>46275</v>
      </c>
      <c r="J301" s="16" t="n">
        <v>20</v>
      </c>
      <c r="K301" s="17" t="n">
        <v>-0.119</v>
      </c>
      <c r="L301" s="11" t="s">
        <v>18</v>
      </c>
      <c r="M301" s="13" t="n">
        <f aca="false">IF(Q301="sim",0,IFERROR(INDEX(Premissas!$C$8:$C$15,MATCH(L301,Premissas!$A$8:$A$15,0)),0))</f>
        <v>0.06</v>
      </c>
      <c r="N301" s="18" t="n">
        <f aca="false">Premissas!$B$4*M301</f>
        <v>6000</v>
      </c>
      <c r="O301" s="18" t="n">
        <f aca="false">N301*K301</f>
        <v>-714</v>
      </c>
      <c r="P301" s="18" t="n">
        <f aca="false">P300+O301</f>
        <v>35609.45</v>
      </c>
      <c r="Q301" s="11" t="s">
        <v>51</v>
      </c>
    </row>
    <row r="302" customFormat="false" ht="15" hidden="false" customHeight="false" outlineLevel="0" collapsed="false">
      <c r="A302" s="11" t="n">
        <v>301</v>
      </c>
      <c r="B302" s="11" t="s">
        <v>281</v>
      </c>
      <c r="C302" s="11" t="s">
        <v>260</v>
      </c>
      <c r="D302" s="11" t="s">
        <v>197</v>
      </c>
      <c r="E302" s="12" t="n">
        <v>50.1</v>
      </c>
      <c r="F302" s="13" t="n">
        <v>0.5</v>
      </c>
      <c r="G302" s="14"/>
      <c r="H302" s="15" t="n">
        <v>46268</v>
      </c>
      <c r="I302" s="15" t="n">
        <v>46279</v>
      </c>
      <c r="J302" s="16" t="n">
        <v>11</v>
      </c>
      <c r="K302" s="17" t="n">
        <v>0.0528</v>
      </c>
      <c r="L302" s="11" t="s">
        <v>22</v>
      </c>
      <c r="M302" s="13" t="n">
        <f aca="false">IF(Q302="sim",0,IFERROR(INDEX(Premissas!$C$8:$C$15,MATCH(L302,Premissas!$A$8:$A$15,0)),0))</f>
        <v>0</v>
      </c>
      <c r="N302" s="18" t="n">
        <f aca="false">Premissas!$B$4*M302</f>
        <v>0</v>
      </c>
      <c r="O302" s="18" t="n">
        <f aca="false">N302*K302</f>
        <v>0</v>
      </c>
      <c r="P302" s="18" t="n">
        <f aca="false">P301+O302</f>
        <v>35609.45</v>
      </c>
      <c r="Q302" s="11" t="s">
        <v>51</v>
      </c>
    </row>
    <row r="303" customFormat="false" ht="15" hidden="false" customHeight="false" outlineLevel="0" collapsed="false">
      <c r="A303" s="11" t="n">
        <v>302</v>
      </c>
      <c r="B303" s="11" t="s">
        <v>223</v>
      </c>
      <c r="C303" s="11" t="s">
        <v>282</v>
      </c>
      <c r="D303" s="11" t="s">
        <v>197</v>
      </c>
      <c r="E303" s="12" t="n">
        <v>52.1</v>
      </c>
      <c r="F303" s="13" t="n">
        <v>0.7</v>
      </c>
      <c r="G303" s="14" t="n">
        <v>1.21</v>
      </c>
      <c r="H303" s="15" t="n">
        <v>46275</v>
      </c>
      <c r="I303" s="15" t="n">
        <v>46279</v>
      </c>
      <c r="J303" s="16" t="n">
        <v>4</v>
      </c>
      <c r="K303" s="17" t="n">
        <v>0.0513</v>
      </c>
      <c r="L303" s="11" t="s">
        <v>22</v>
      </c>
      <c r="M303" s="13" t="n">
        <f aca="false">IF(Q303="sim",0,IFERROR(INDEX(Premissas!$C$8:$C$15,MATCH(L303,Premissas!$A$8:$A$15,0)),0))</f>
        <v>0</v>
      </c>
      <c r="N303" s="18" t="n">
        <f aca="false">Premissas!$B$4*M303</f>
        <v>0</v>
      </c>
      <c r="O303" s="18" t="n">
        <f aca="false">N303*K303</f>
        <v>0</v>
      </c>
      <c r="P303" s="18" t="n">
        <f aca="false">P302+O303</f>
        <v>35609.45</v>
      </c>
      <c r="Q303" s="11" t="s">
        <v>51</v>
      </c>
    </row>
    <row r="304" customFormat="false" ht="15" hidden="false" customHeight="false" outlineLevel="0" collapsed="false">
      <c r="A304" s="11" t="n">
        <v>303</v>
      </c>
      <c r="B304" s="11" t="s">
        <v>283</v>
      </c>
      <c r="C304" s="11" t="s">
        <v>260</v>
      </c>
      <c r="D304" s="11" t="s">
        <v>197</v>
      </c>
      <c r="E304" s="12" t="n">
        <v>68.1</v>
      </c>
      <c r="F304" s="13" t="n">
        <v>1</v>
      </c>
      <c r="G304" s="14"/>
      <c r="H304" s="15" t="n">
        <v>46273</v>
      </c>
      <c r="I304" s="15" t="n">
        <v>46279</v>
      </c>
      <c r="J304" s="16" t="n">
        <v>6</v>
      </c>
      <c r="K304" s="17" t="n">
        <v>0.0528</v>
      </c>
      <c r="L304" s="11" t="s">
        <v>20</v>
      </c>
      <c r="M304" s="13" t="n">
        <f aca="false">IF(Q304="sim",0,IFERROR(INDEX(Premissas!$C$8:$C$15,MATCH(L304,Premissas!$A$8:$A$15,0)),0))</f>
        <v>0.035</v>
      </c>
      <c r="N304" s="18" t="n">
        <f aca="false">Premissas!$B$4*M304</f>
        <v>3500</v>
      </c>
      <c r="O304" s="18" t="n">
        <f aca="false">N304*K304</f>
        <v>184.8</v>
      </c>
      <c r="P304" s="18" t="n">
        <f aca="false">P303+O304</f>
        <v>35794.25</v>
      </c>
      <c r="Q304" s="11" t="s">
        <v>51</v>
      </c>
    </row>
    <row r="305" customFormat="false" ht="15" hidden="false" customHeight="false" outlineLevel="0" collapsed="false">
      <c r="A305" s="11" t="n">
        <v>304</v>
      </c>
      <c r="B305" s="11" t="s">
        <v>284</v>
      </c>
      <c r="C305" s="11" t="s">
        <v>282</v>
      </c>
      <c r="D305" s="11" t="s">
        <v>197</v>
      </c>
      <c r="E305" s="12" t="n">
        <v>57.1</v>
      </c>
      <c r="F305" s="13" t="n">
        <v>0.7</v>
      </c>
      <c r="G305" s="14" t="n">
        <v>1.426</v>
      </c>
      <c r="H305" s="15" t="n">
        <v>46276</v>
      </c>
      <c r="I305" s="15" t="n">
        <v>46280</v>
      </c>
      <c r="J305" s="16" t="n">
        <v>4</v>
      </c>
      <c r="K305" s="17" t="n">
        <v>0.052</v>
      </c>
      <c r="L305" s="11" t="s">
        <v>14</v>
      </c>
      <c r="M305" s="13" t="n">
        <f aca="false">IF(Q305="sim",0,IFERROR(INDEX(Premissas!$C$8:$C$15,MATCH(L305,Premissas!$A$8:$A$15,0)),0))</f>
        <v>0.08</v>
      </c>
      <c r="N305" s="18" t="n">
        <f aca="false">Premissas!$B$4*M305</f>
        <v>8000</v>
      </c>
      <c r="O305" s="18" t="n">
        <f aca="false">N305*K305</f>
        <v>416</v>
      </c>
      <c r="P305" s="18" t="n">
        <f aca="false">P304+O305</f>
        <v>36210.25</v>
      </c>
      <c r="Q305" s="11" t="s">
        <v>51</v>
      </c>
    </row>
    <row r="306" customFormat="false" ht="15" hidden="false" customHeight="false" outlineLevel="0" collapsed="false">
      <c r="A306" s="11" t="n">
        <v>305</v>
      </c>
      <c r="B306" s="11" t="s">
        <v>285</v>
      </c>
      <c r="C306" s="11" t="s">
        <v>282</v>
      </c>
      <c r="D306" s="11" t="s">
        <v>191</v>
      </c>
      <c r="E306" s="12" t="n">
        <v>86.1</v>
      </c>
      <c r="F306" s="13" t="n">
        <v>0.9</v>
      </c>
      <c r="G306" s="14" t="n">
        <v>2.471</v>
      </c>
      <c r="H306" s="15" t="n">
        <v>46279</v>
      </c>
      <c r="I306" s="15" t="n">
        <v>46280</v>
      </c>
      <c r="J306" s="16" t="n">
        <v>1</v>
      </c>
      <c r="K306" s="17" t="n">
        <v>0.0508</v>
      </c>
      <c r="L306" s="11" t="s">
        <v>18</v>
      </c>
      <c r="M306" s="13" t="n">
        <f aca="false">IF(Q306="sim",0,IFERROR(INDEX(Premissas!$C$8:$C$15,MATCH(L306,Premissas!$A$8:$A$15,0)),0))</f>
        <v>0.06</v>
      </c>
      <c r="N306" s="18" t="n">
        <f aca="false">Premissas!$B$4*M306</f>
        <v>6000</v>
      </c>
      <c r="O306" s="18" t="n">
        <f aca="false">N306*K306</f>
        <v>304.8</v>
      </c>
      <c r="P306" s="18" t="n">
        <f aca="false">P305+O306</f>
        <v>36515.05</v>
      </c>
      <c r="Q306" s="11" t="s">
        <v>51</v>
      </c>
    </row>
    <row r="307" customFormat="false" ht="15" hidden="false" customHeight="false" outlineLevel="0" collapsed="false">
      <c r="A307" s="11" t="n">
        <v>306</v>
      </c>
      <c r="B307" s="11" t="s">
        <v>178</v>
      </c>
      <c r="C307" s="11" t="s">
        <v>260</v>
      </c>
      <c r="D307" s="11" t="s">
        <v>191</v>
      </c>
      <c r="E307" s="12" t="n">
        <v>76.1</v>
      </c>
      <c r="F307" s="13" t="n">
        <v>0.9</v>
      </c>
      <c r="G307" s="14" t="n">
        <v>1.858</v>
      </c>
      <c r="H307" s="15" t="n">
        <v>46261</v>
      </c>
      <c r="I307" s="15" t="n">
        <v>46280</v>
      </c>
      <c r="J307" s="16" t="n">
        <v>19</v>
      </c>
      <c r="K307" s="17" t="n">
        <v>-0.0688</v>
      </c>
      <c r="L307" s="11" t="s">
        <v>20</v>
      </c>
      <c r="M307" s="13" t="n">
        <f aca="false">IF(Q307="sim",0,IFERROR(INDEX(Premissas!$C$8:$C$15,MATCH(L307,Premissas!$A$8:$A$15,0)),0))</f>
        <v>0.035</v>
      </c>
      <c r="N307" s="18" t="n">
        <f aca="false">Premissas!$B$4*M307</f>
        <v>3500</v>
      </c>
      <c r="O307" s="18" t="n">
        <f aca="false">N307*K307</f>
        <v>-240.8</v>
      </c>
      <c r="P307" s="18" t="n">
        <f aca="false">P306+O307</f>
        <v>36274.25</v>
      </c>
      <c r="Q307" s="11" t="s">
        <v>51</v>
      </c>
    </row>
    <row r="308" customFormat="false" ht="15" hidden="false" customHeight="false" outlineLevel="0" collapsed="false">
      <c r="A308" s="11" t="n">
        <v>307</v>
      </c>
      <c r="B308" s="11" t="s">
        <v>256</v>
      </c>
      <c r="C308" s="11" t="s">
        <v>260</v>
      </c>
      <c r="D308" s="11" t="s">
        <v>197</v>
      </c>
      <c r="E308" s="12" t="n">
        <v>63.1</v>
      </c>
      <c r="F308" s="13" t="n">
        <v>0.7</v>
      </c>
      <c r="G308" s="14" t="n">
        <v>1.673</v>
      </c>
      <c r="H308" s="15" t="n">
        <v>46269</v>
      </c>
      <c r="I308" s="15" t="n">
        <v>46280</v>
      </c>
      <c r="J308" s="16" t="n">
        <v>11</v>
      </c>
      <c r="K308" s="17" t="n">
        <v>-0.105</v>
      </c>
      <c r="L308" s="11" t="s">
        <v>14</v>
      </c>
      <c r="M308" s="13" t="n">
        <f aca="false">IF(Q308="sim",0,IFERROR(INDEX(Premissas!$C$8:$C$15,MATCH(L308,Premissas!$A$8:$A$15,0)),0))</f>
        <v>0.08</v>
      </c>
      <c r="N308" s="18" t="n">
        <f aca="false">Premissas!$B$4*M308</f>
        <v>8000</v>
      </c>
      <c r="O308" s="18" t="n">
        <f aca="false">N308*K308</f>
        <v>-840</v>
      </c>
      <c r="P308" s="18" t="n">
        <f aca="false">P307+O308</f>
        <v>35434.25</v>
      </c>
      <c r="Q308" s="11" t="s">
        <v>51</v>
      </c>
    </row>
    <row r="309" customFormat="false" ht="15" hidden="false" customHeight="false" outlineLevel="0" collapsed="false">
      <c r="A309" s="11" t="n">
        <v>308</v>
      </c>
      <c r="B309" s="11" t="s">
        <v>286</v>
      </c>
      <c r="C309" s="11" t="s">
        <v>188</v>
      </c>
      <c r="D309" s="11" t="s">
        <v>170</v>
      </c>
      <c r="E309" s="12"/>
      <c r="F309" s="13" t="n">
        <v>0.6147</v>
      </c>
      <c r="G309" s="14" t="n">
        <v>1.572</v>
      </c>
      <c r="H309" s="15" t="n">
        <v>46275</v>
      </c>
      <c r="I309" s="15" t="n">
        <v>46281</v>
      </c>
      <c r="J309" s="16" t="n">
        <v>6</v>
      </c>
      <c r="K309" s="17" t="n">
        <v>-0.044</v>
      </c>
      <c r="L309" s="11" t="s">
        <v>10</v>
      </c>
      <c r="M309" s="13" t="n">
        <f aca="false">IF(Q309="sim",0,IFERROR(INDEX(Premissas!$C$8:$C$15,MATCH(L309,Premissas!$A$8:$A$15,0)),0))</f>
        <v>0.1</v>
      </c>
      <c r="N309" s="18" t="n">
        <f aca="false">Premissas!$B$4*M309</f>
        <v>10000</v>
      </c>
      <c r="O309" s="18" t="n">
        <f aca="false">N309*K309</f>
        <v>-440</v>
      </c>
      <c r="P309" s="18" t="n">
        <f aca="false">P308+O309</f>
        <v>34994.25</v>
      </c>
      <c r="Q309" s="11" t="s">
        <v>51</v>
      </c>
    </row>
    <row r="310" customFormat="false" ht="15" hidden="false" customHeight="false" outlineLevel="0" collapsed="false">
      <c r="A310" s="11" t="n">
        <v>309</v>
      </c>
      <c r="B310" s="11" t="s">
        <v>286</v>
      </c>
      <c r="C310" s="11" t="s">
        <v>188</v>
      </c>
      <c r="D310" s="11" t="s">
        <v>170</v>
      </c>
      <c r="E310" s="12"/>
      <c r="F310" s="13" t="n">
        <v>0.6147</v>
      </c>
      <c r="G310" s="14" t="n">
        <v>1.572</v>
      </c>
      <c r="H310" s="15" t="n">
        <v>46266</v>
      </c>
      <c r="I310" s="15" t="n">
        <v>46286</v>
      </c>
      <c r="J310" s="16" t="n">
        <v>20</v>
      </c>
      <c r="K310" s="17" t="n">
        <v>-0.0105</v>
      </c>
      <c r="L310" s="11" t="s">
        <v>10</v>
      </c>
      <c r="M310" s="13" t="n">
        <f aca="false">IF(Q310="sim",0,IFERROR(INDEX(Premissas!$C$8:$C$15,MATCH(L310,Premissas!$A$8:$A$15,0)),0))</f>
        <v>0.1</v>
      </c>
      <c r="N310" s="18" t="n">
        <f aca="false">Premissas!$B$4*M310</f>
        <v>10000</v>
      </c>
      <c r="O310" s="18" t="n">
        <f aca="false">N310*K310</f>
        <v>-105</v>
      </c>
      <c r="P310" s="18" t="n">
        <f aca="false">P309+O310</f>
        <v>34889.25</v>
      </c>
      <c r="Q310" s="11" t="s">
        <v>51</v>
      </c>
    </row>
    <row r="311" customFormat="false" ht="15" hidden="false" customHeight="false" outlineLevel="0" collapsed="false">
      <c r="A311" s="11" t="n">
        <v>310</v>
      </c>
      <c r="B311" s="11" t="s">
        <v>243</v>
      </c>
      <c r="C311" s="11" t="s">
        <v>282</v>
      </c>
      <c r="D311" s="11" t="s">
        <v>191</v>
      </c>
      <c r="E311" s="12" t="n">
        <v>76.1</v>
      </c>
      <c r="F311" s="13" t="n">
        <v>0.9</v>
      </c>
      <c r="G311" s="14" t="n">
        <v>2.031</v>
      </c>
      <c r="H311" s="15" t="n">
        <v>46282</v>
      </c>
      <c r="I311" s="15" t="n">
        <v>46286</v>
      </c>
      <c r="J311" s="16" t="n">
        <v>4</v>
      </c>
      <c r="K311" s="17" t="n">
        <v>0.061</v>
      </c>
      <c r="L311" s="11" t="s">
        <v>20</v>
      </c>
      <c r="M311" s="13" t="n">
        <f aca="false">IF(Q311="sim",0,IFERROR(INDEX(Premissas!$C$8:$C$15,MATCH(L311,Premissas!$A$8:$A$15,0)),0))</f>
        <v>0.035</v>
      </c>
      <c r="N311" s="18" t="n">
        <f aca="false">Premissas!$B$4*M311</f>
        <v>3500</v>
      </c>
      <c r="O311" s="18" t="n">
        <f aca="false">N311*K311</f>
        <v>213.5</v>
      </c>
      <c r="P311" s="18" t="n">
        <f aca="false">P310+O311</f>
        <v>35102.75</v>
      </c>
      <c r="Q311" s="11" t="s">
        <v>51</v>
      </c>
    </row>
    <row r="312" customFormat="false" ht="15" hidden="false" customHeight="false" outlineLevel="0" collapsed="false">
      <c r="A312" s="11" t="n">
        <v>311</v>
      </c>
      <c r="B312" s="11" t="s">
        <v>287</v>
      </c>
      <c r="C312" s="11" t="s">
        <v>282</v>
      </c>
      <c r="D312" s="11" t="s">
        <v>197</v>
      </c>
      <c r="E312" s="12" t="n">
        <v>68.1</v>
      </c>
      <c r="F312" s="13" t="n">
        <v>0.9</v>
      </c>
      <c r="G312" s="14" t="n">
        <v>1.708</v>
      </c>
      <c r="H312" s="15" t="n">
        <v>46282</v>
      </c>
      <c r="I312" s="15" t="n">
        <v>46287</v>
      </c>
      <c r="J312" s="16" t="n">
        <v>5</v>
      </c>
      <c r="K312" s="17" t="n">
        <v>0.0511</v>
      </c>
      <c r="L312" s="11" t="s">
        <v>16</v>
      </c>
      <c r="M312" s="13" t="n">
        <f aca="false">IF(Q312="sim",0,IFERROR(INDEX(Premissas!$C$8:$C$15,MATCH(L312,Premissas!$A$8:$A$15,0)),0))</f>
        <v>0.07</v>
      </c>
      <c r="N312" s="18" t="n">
        <f aca="false">Premissas!$B$4*M312</f>
        <v>7000</v>
      </c>
      <c r="O312" s="18" t="n">
        <f aca="false">N312*K312</f>
        <v>357.7</v>
      </c>
      <c r="P312" s="18" t="n">
        <f aca="false">P311+O312</f>
        <v>35460.45</v>
      </c>
      <c r="Q312" s="11" t="s">
        <v>51</v>
      </c>
    </row>
    <row r="313" customFormat="false" ht="15" hidden="false" customHeight="false" outlineLevel="0" collapsed="false">
      <c r="A313" s="11" t="n">
        <v>312</v>
      </c>
      <c r="B313" s="11" t="s">
        <v>288</v>
      </c>
      <c r="C313" s="11" t="s">
        <v>282</v>
      </c>
      <c r="D313" s="11" t="s">
        <v>191</v>
      </c>
      <c r="E313" s="12" t="n">
        <v>83.1</v>
      </c>
      <c r="F313" s="13" t="n">
        <v>0.9</v>
      </c>
      <c r="G313" s="14" t="n">
        <v>2.344</v>
      </c>
      <c r="H313" s="15" t="n">
        <v>46279</v>
      </c>
      <c r="I313" s="15" t="n">
        <v>46287</v>
      </c>
      <c r="J313" s="16" t="n">
        <v>8</v>
      </c>
      <c r="K313" s="17" t="n">
        <v>-0.0807</v>
      </c>
      <c r="L313" s="11" t="s">
        <v>20</v>
      </c>
      <c r="M313" s="13" t="n">
        <f aca="false">IF(Q313="sim",0,IFERROR(INDEX(Premissas!$C$8:$C$15,MATCH(L313,Premissas!$A$8:$A$15,0)),0))</f>
        <v>0.035</v>
      </c>
      <c r="N313" s="18" t="n">
        <f aca="false">Premissas!$B$4*M313</f>
        <v>3500</v>
      </c>
      <c r="O313" s="18" t="n">
        <f aca="false">N313*K313</f>
        <v>-282.45</v>
      </c>
      <c r="P313" s="18" t="n">
        <f aca="false">P312+O313</f>
        <v>35178</v>
      </c>
      <c r="Q313" s="11" t="s">
        <v>51</v>
      </c>
    </row>
    <row r="314" customFormat="false" ht="15" hidden="false" customHeight="false" outlineLevel="0" collapsed="false">
      <c r="A314" s="11" t="n">
        <v>313</v>
      </c>
      <c r="B314" s="11" t="s">
        <v>289</v>
      </c>
      <c r="C314" s="11" t="s">
        <v>282</v>
      </c>
      <c r="D314" s="11" t="s">
        <v>197</v>
      </c>
      <c r="E314" s="12" t="n">
        <v>56.1</v>
      </c>
      <c r="F314" s="13" t="n">
        <v>0.6</v>
      </c>
      <c r="G314" s="14" t="n">
        <v>1.498</v>
      </c>
      <c r="H314" s="15" t="n">
        <v>46283</v>
      </c>
      <c r="I314" s="15" t="n">
        <v>46288</v>
      </c>
      <c r="J314" s="16" t="n">
        <v>5</v>
      </c>
      <c r="K314" s="17" t="n">
        <v>0.0343</v>
      </c>
      <c r="L314" s="11" t="s">
        <v>14</v>
      </c>
      <c r="M314" s="13" t="n">
        <f aca="false">IF(Q314="sim",0,IFERROR(INDEX(Premissas!$C$8:$C$15,MATCH(L314,Premissas!$A$8:$A$15,0)),0))</f>
        <v>0.08</v>
      </c>
      <c r="N314" s="18" t="n">
        <f aca="false">Premissas!$B$4*M314</f>
        <v>8000</v>
      </c>
      <c r="O314" s="18" t="n">
        <f aca="false">N314*K314</f>
        <v>274.4</v>
      </c>
      <c r="P314" s="18" t="n">
        <f aca="false">P313+O314</f>
        <v>35452.4</v>
      </c>
      <c r="Q314" s="11" t="s">
        <v>51</v>
      </c>
    </row>
    <row r="315" customFormat="false" ht="15" hidden="false" customHeight="false" outlineLevel="0" collapsed="false">
      <c r="A315" s="11" t="n">
        <v>314</v>
      </c>
      <c r="B315" s="11" t="s">
        <v>253</v>
      </c>
      <c r="C315" s="11" t="s">
        <v>188</v>
      </c>
      <c r="D315" s="11" t="s">
        <v>170</v>
      </c>
      <c r="E315" s="12"/>
      <c r="F315" s="13" t="n">
        <v>0.6087</v>
      </c>
      <c r="G315" s="14" t="n">
        <v>1.584</v>
      </c>
      <c r="H315" s="15" t="n">
        <v>46281</v>
      </c>
      <c r="I315" s="15" t="n">
        <v>46288</v>
      </c>
      <c r="J315" s="16" t="n">
        <v>7</v>
      </c>
      <c r="K315" s="17" t="n">
        <v>-0.035</v>
      </c>
      <c r="L315" s="11" t="s">
        <v>10</v>
      </c>
      <c r="M315" s="13" t="n">
        <f aca="false">IF(Q315="sim",0,IFERROR(INDEX(Premissas!$C$8:$C$15,MATCH(L315,Premissas!$A$8:$A$15,0)),0))</f>
        <v>0.1</v>
      </c>
      <c r="N315" s="18" t="n">
        <f aca="false">Premissas!$B$4*M315</f>
        <v>10000</v>
      </c>
      <c r="O315" s="18" t="n">
        <f aca="false">N315*K315</f>
        <v>-350</v>
      </c>
      <c r="P315" s="18" t="n">
        <f aca="false">P314+O315</f>
        <v>35102.4</v>
      </c>
      <c r="Q315" s="11" t="s">
        <v>51</v>
      </c>
    </row>
    <row r="316" customFormat="false" ht="15" hidden="false" customHeight="false" outlineLevel="0" collapsed="false">
      <c r="A316" s="11" t="n">
        <v>315</v>
      </c>
      <c r="B316" s="11" t="s">
        <v>290</v>
      </c>
      <c r="C316" s="11" t="s">
        <v>282</v>
      </c>
      <c r="D316" s="11" t="s">
        <v>197</v>
      </c>
      <c r="E316" s="12" t="n">
        <v>64.1</v>
      </c>
      <c r="F316" s="13" t="n">
        <v>0.6</v>
      </c>
      <c r="G316" s="14" t="n">
        <v>1.825</v>
      </c>
      <c r="H316" s="15" t="n">
        <v>46279</v>
      </c>
      <c r="I316" s="15" t="n">
        <v>46288</v>
      </c>
      <c r="J316" s="16" t="n">
        <v>9</v>
      </c>
      <c r="K316" s="17" t="n">
        <v>-0.0794</v>
      </c>
      <c r="L316" s="11" t="s">
        <v>20</v>
      </c>
      <c r="M316" s="13" t="n">
        <f aca="false">IF(Q316="sim",0,IFERROR(INDEX(Premissas!$C$8:$C$15,MATCH(L316,Premissas!$A$8:$A$15,0)),0))</f>
        <v>0.035</v>
      </c>
      <c r="N316" s="18" t="n">
        <f aca="false">Premissas!$B$4*M316</f>
        <v>3500</v>
      </c>
      <c r="O316" s="18" t="n">
        <f aca="false">N316*K316</f>
        <v>-277.9</v>
      </c>
      <c r="P316" s="18" t="n">
        <f aca="false">P315+O316</f>
        <v>34824.5</v>
      </c>
      <c r="Q316" s="11" t="s">
        <v>51</v>
      </c>
    </row>
    <row r="317" customFormat="false" ht="15" hidden="false" customHeight="false" outlineLevel="0" collapsed="false">
      <c r="A317" s="11" t="n">
        <v>316</v>
      </c>
      <c r="B317" s="11" t="s">
        <v>253</v>
      </c>
      <c r="C317" s="11" t="s">
        <v>188</v>
      </c>
      <c r="D317" s="11" t="s">
        <v>170</v>
      </c>
      <c r="E317" s="12"/>
      <c r="F317" s="13" t="n">
        <v>0.6087</v>
      </c>
      <c r="G317" s="14" t="n">
        <v>1.584</v>
      </c>
      <c r="H317" s="15" t="n">
        <v>46269</v>
      </c>
      <c r="I317" s="15" t="n">
        <v>46289</v>
      </c>
      <c r="J317" s="16" t="n">
        <v>20</v>
      </c>
      <c r="K317" s="17" t="n">
        <v>-0.0316</v>
      </c>
      <c r="L317" s="11" t="s">
        <v>10</v>
      </c>
      <c r="M317" s="13" t="n">
        <f aca="false">IF(Q317="sim",0,IFERROR(INDEX(Premissas!$C$8:$C$15,MATCH(L317,Premissas!$A$8:$A$15,0)),0))</f>
        <v>0.1</v>
      </c>
      <c r="N317" s="18" t="n">
        <f aca="false">Premissas!$B$4*M317</f>
        <v>10000</v>
      </c>
      <c r="O317" s="18" t="n">
        <f aca="false">N317*K317</f>
        <v>-316</v>
      </c>
      <c r="P317" s="18" t="n">
        <f aca="false">P316+O317</f>
        <v>34508.5</v>
      </c>
      <c r="Q317" s="11" t="s">
        <v>51</v>
      </c>
    </row>
    <row r="318" customFormat="false" ht="15" hidden="false" customHeight="false" outlineLevel="0" collapsed="false">
      <c r="A318" s="11" t="n">
        <v>317</v>
      </c>
      <c r="B318" s="11" t="s">
        <v>286</v>
      </c>
      <c r="C318" s="11" t="s">
        <v>260</v>
      </c>
      <c r="D318" s="11" t="s">
        <v>197</v>
      </c>
      <c r="E318" s="12" t="n">
        <v>52.1</v>
      </c>
      <c r="F318" s="13" t="n">
        <v>0.7</v>
      </c>
      <c r="G318" s="14" t="n">
        <v>1.335</v>
      </c>
      <c r="H318" s="15" t="n">
        <v>46265</v>
      </c>
      <c r="I318" s="15" t="n">
        <v>46293</v>
      </c>
      <c r="J318" s="16" t="n">
        <v>28</v>
      </c>
      <c r="K318" s="17" t="n">
        <v>-0.0367</v>
      </c>
      <c r="L318" s="11" t="s">
        <v>22</v>
      </c>
      <c r="M318" s="13" t="n">
        <f aca="false">IF(Q318="sim",0,IFERROR(INDEX(Premissas!$C$8:$C$15,MATCH(L318,Premissas!$A$8:$A$15,0)),0))</f>
        <v>0</v>
      </c>
      <c r="N318" s="18" t="n">
        <f aca="false">Premissas!$B$4*M318</f>
        <v>0</v>
      </c>
      <c r="O318" s="18" t="n">
        <f aca="false">N318*K318</f>
        <v>-0</v>
      </c>
      <c r="P318" s="18" t="n">
        <f aca="false">P317+O318</f>
        <v>34508.5</v>
      </c>
      <c r="Q318" s="11" t="s">
        <v>51</v>
      </c>
    </row>
    <row r="319" customFormat="false" ht="15" hidden="false" customHeight="false" outlineLevel="0" collapsed="false">
      <c r="A319" s="11" t="n">
        <v>318</v>
      </c>
      <c r="B319" s="11" t="s">
        <v>291</v>
      </c>
      <c r="C319" s="11" t="s">
        <v>282</v>
      </c>
      <c r="D319" s="11" t="s">
        <v>191</v>
      </c>
      <c r="E319" s="12" t="n">
        <v>78.1</v>
      </c>
      <c r="F319" s="13" t="n">
        <v>1</v>
      </c>
      <c r="G319" s="14"/>
      <c r="H319" s="15" t="n">
        <v>46279</v>
      </c>
      <c r="I319" s="15" t="n">
        <v>46294</v>
      </c>
      <c r="J319" s="16" t="n">
        <v>15</v>
      </c>
      <c r="K319" s="17" t="n">
        <v>-0.0658</v>
      </c>
      <c r="L319" s="11" t="s">
        <v>20</v>
      </c>
      <c r="M319" s="13" t="n">
        <f aca="false">IF(Q319="sim",0,IFERROR(INDEX(Premissas!$C$8:$C$15,MATCH(L319,Premissas!$A$8:$A$15,0)),0))</f>
        <v>0.035</v>
      </c>
      <c r="N319" s="18" t="n">
        <f aca="false">Premissas!$B$4*M319</f>
        <v>3500</v>
      </c>
      <c r="O319" s="18" t="n">
        <f aca="false">N319*K319</f>
        <v>-230.3</v>
      </c>
      <c r="P319" s="18" t="n">
        <f aca="false">P318+O319</f>
        <v>34278.2</v>
      </c>
      <c r="Q319" s="11" t="s">
        <v>51</v>
      </c>
    </row>
    <row r="320" customFormat="false" ht="15" hidden="false" customHeight="false" outlineLevel="0" collapsed="false">
      <c r="A320" s="11" t="n">
        <v>319</v>
      </c>
      <c r="B320" s="11" t="s">
        <v>266</v>
      </c>
      <c r="C320" s="11" t="s">
        <v>282</v>
      </c>
      <c r="D320" s="11" t="s">
        <v>197</v>
      </c>
      <c r="E320" s="12" t="n">
        <v>58.1</v>
      </c>
      <c r="F320" s="13" t="n">
        <v>0.7</v>
      </c>
      <c r="G320" s="14" t="n">
        <v>1.477</v>
      </c>
      <c r="H320" s="15" t="n">
        <v>46279</v>
      </c>
      <c r="I320" s="15" t="n">
        <v>46295</v>
      </c>
      <c r="J320" s="16" t="n">
        <v>16</v>
      </c>
      <c r="K320" s="17" t="n">
        <v>-0.0617</v>
      </c>
      <c r="L320" s="11" t="s">
        <v>14</v>
      </c>
      <c r="M320" s="13" t="n">
        <f aca="false">IF(Q320="sim",0,IFERROR(INDEX(Premissas!$C$8:$C$15,MATCH(L320,Premissas!$A$8:$A$15,0)),0))</f>
        <v>0.08</v>
      </c>
      <c r="N320" s="18" t="n">
        <f aca="false">Premissas!$B$4*M320</f>
        <v>8000</v>
      </c>
      <c r="O320" s="18" t="n">
        <f aca="false">N320*K320</f>
        <v>-493.6</v>
      </c>
      <c r="P320" s="18" t="n">
        <f aca="false">P319+O320</f>
        <v>33784.6</v>
      </c>
      <c r="Q320" s="1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9" t="s">
        <v>292</v>
      </c>
    </row>
    <row r="3" customFormat="false" ht="15" hidden="false" customHeight="false" outlineLevel="0" collapsed="false">
      <c r="A3" s="6" t="s">
        <v>293</v>
      </c>
      <c r="B3" s="6" t="s">
        <v>294</v>
      </c>
      <c r="C3" s="6" t="s">
        <v>295</v>
      </c>
      <c r="D3" s="6" t="s">
        <v>296</v>
      </c>
      <c r="E3" s="6" t="s">
        <v>297</v>
      </c>
      <c r="F3" s="6" t="s">
        <v>298</v>
      </c>
      <c r="G3" s="6" t="s">
        <v>299</v>
      </c>
      <c r="H3" s="6" t="s">
        <v>300</v>
      </c>
      <c r="I3" s="6" t="s">
        <v>301</v>
      </c>
    </row>
    <row r="4" customFormat="false" ht="15" hidden="false" customHeight="false" outlineLevel="0" collapsed="false">
      <c r="A4" s="11" t="s">
        <v>302</v>
      </c>
      <c r="B4" s="15" t="n">
        <v>46023</v>
      </c>
      <c r="C4" s="15" t="n">
        <v>46053</v>
      </c>
      <c r="D4" s="16" t="n">
        <f aca="false">COUNTIFS(Operações!$I$2:$I$320,"&gt;="&amp;$B4,Operações!$I$2:$I$320,"&lt;="&amp;$C4)</f>
        <v>65</v>
      </c>
      <c r="E4" s="16" t="n">
        <f aca="false">COUNTIFS(Operações!$I$2:$I$320,"&gt;="&amp;$B4,Operações!$I$2:$I$320,"&lt;="&amp;$C4,Operações!$K$2:$K$320,"&gt;0")</f>
        <v>31</v>
      </c>
      <c r="F4" s="13" t="n">
        <f aca="false">IFERROR(E4/D4,0)</f>
        <v>0.476923076923077</v>
      </c>
      <c r="G4" s="18" t="n">
        <f aca="false">SUMIFS(Operações!$O$2:$O$320,Operações!$I$2:$I$320,"&gt;="&amp;$B4,Operações!$I$2:$I$320,"&lt;="&amp;$C4)</f>
        <v>2467.1</v>
      </c>
      <c r="H4" s="17" t="n">
        <f aca="false">G4/Premissas!$B$4</f>
        <v>0.024671</v>
      </c>
      <c r="I4" s="17" t="n">
        <f aca="false">H4</f>
        <v>0.024671</v>
      </c>
    </row>
    <row r="5" customFormat="false" ht="15" hidden="false" customHeight="false" outlineLevel="0" collapsed="false">
      <c r="A5" s="11" t="s">
        <v>303</v>
      </c>
      <c r="B5" s="15" t="n">
        <v>46054</v>
      </c>
      <c r="C5" s="15" t="n">
        <v>46081</v>
      </c>
      <c r="D5" s="16" t="n">
        <f aca="false">COUNTIFS(Operações!$I$2:$I$320,"&gt;="&amp;$B5,Operações!$I$2:$I$320,"&lt;="&amp;$C5)</f>
        <v>80</v>
      </c>
      <c r="E5" s="16" t="n">
        <f aca="false">COUNTIFS(Operações!$I$2:$I$320,"&gt;="&amp;$B5,Operações!$I$2:$I$320,"&lt;="&amp;$C5,Operações!$K$2:$K$320,"&gt;0")</f>
        <v>49</v>
      </c>
      <c r="F5" s="13" t="n">
        <f aca="false">IFERROR(E5/D5,0)</f>
        <v>0.6125</v>
      </c>
      <c r="G5" s="18" t="n">
        <f aca="false">SUMIFS(Operações!$O$2:$O$320,Operações!$I$2:$I$320,"&gt;="&amp;$B5,Operações!$I$2:$I$320,"&lt;="&amp;$C5)</f>
        <v>8877.8</v>
      </c>
      <c r="H5" s="17" t="n">
        <f aca="false">G5/Premissas!$B$4</f>
        <v>0.088778</v>
      </c>
      <c r="I5" s="17" t="n">
        <f aca="false">I4+H5</f>
        <v>0.113449</v>
      </c>
    </row>
    <row r="6" customFormat="false" ht="15" hidden="false" customHeight="false" outlineLevel="0" collapsed="false">
      <c r="A6" s="11" t="s">
        <v>304</v>
      </c>
      <c r="B6" s="15" t="n">
        <v>46082</v>
      </c>
      <c r="C6" s="15" t="n">
        <v>46112</v>
      </c>
      <c r="D6" s="16" t="n">
        <f aca="false">COUNTIFS(Operações!$I$2:$I$320,"&gt;="&amp;$B6,Operações!$I$2:$I$320,"&lt;="&amp;$C6)</f>
        <v>47</v>
      </c>
      <c r="E6" s="16" t="n">
        <f aca="false">COUNTIFS(Operações!$I$2:$I$320,"&gt;="&amp;$B6,Operações!$I$2:$I$320,"&lt;="&amp;$C6,Operações!$K$2:$K$320,"&gt;0")</f>
        <v>22</v>
      </c>
      <c r="F6" s="13" t="n">
        <f aca="false">IFERROR(E6/D6,0)</f>
        <v>0.468085106382979</v>
      </c>
      <c r="G6" s="18" t="n">
        <f aca="false">SUMIFS(Operações!$O$2:$O$320,Operações!$I$2:$I$320,"&gt;="&amp;$B6,Operações!$I$2:$I$320,"&lt;="&amp;$C6)</f>
        <v>1589.4</v>
      </c>
      <c r="H6" s="17" t="n">
        <f aca="false">G6/Premissas!$B$4</f>
        <v>0.015894</v>
      </c>
      <c r="I6" s="17" t="n">
        <f aca="false">I5+H6</f>
        <v>0.129343</v>
      </c>
    </row>
    <row r="7" customFormat="false" ht="15" hidden="false" customHeight="false" outlineLevel="0" collapsed="false">
      <c r="A7" s="11" t="s">
        <v>305</v>
      </c>
      <c r="B7" s="15" t="n">
        <v>46113</v>
      </c>
      <c r="C7" s="15" t="n">
        <v>46142</v>
      </c>
      <c r="D7" s="16" t="n">
        <f aca="false">COUNTIFS(Operações!$I$2:$I$320,"&gt;="&amp;$B7,Operações!$I$2:$I$320,"&lt;="&amp;$C7)</f>
        <v>20</v>
      </c>
      <c r="E7" s="16" t="n">
        <f aca="false">COUNTIFS(Operações!$I$2:$I$320,"&gt;="&amp;$B7,Operações!$I$2:$I$320,"&lt;="&amp;$C7,Operações!$K$2:$K$320,"&gt;0")</f>
        <v>15</v>
      </c>
      <c r="F7" s="13" t="n">
        <f aca="false">IFERROR(E7/D7,0)</f>
        <v>0.75</v>
      </c>
      <c r="G7" s="18" t="n">
        <f aca="false">SUMIFS(Operações!$O$2:$O$320,Operações!$I$2:$I$320,"&gt;="&amp;$B7,Operações!$I$2:$I$320,"&lt;="&amp;$C7)</f>
        <v>7234.35</v>
      </c>
      <c r="H7" s="17" t="n">
        <f aca="false">G7/Premissas!$B$4</f>
        <v>0.0723435</v>
      </c>
      <c r="I7" s="17" t="n">
        <f aca="false">I6+H7</f>
        <v>0.2016865</v>
      </c>
    </row>
    <row r="8" customFormat="false" ht="15" hidden="false" customHeight="false" outlineLevel="0" collapsed="false">
      <c r="A8" s="11" t="s">
        <v>306</v>
      </c>
      <c r="B8" s="15" t="n">
        <v>46143</v>
      </c>
      <c r="C8" s="15" t="n">
        <v>46173</v>
      </c>
      <c r="D8" s="16" t="n">
        <f aca="false">COUNTIFS(Operações!$I$2:$I$320,"&gt;="&amp;$B8,Operações!$I$2:$I$320,"&lt;="&amp;$C8)</f>
        <v>26</v>
      </c>
      <c r="E8" s="16" t="n">
        <f aca="false">COUNTIFS(Operações!$I$2:$I$320,"&gt;="&amp;$B8,Operações!$I$2:$I$320,"&lt;="&amp;$C8,Operações!$K$2:$K$320,"&gt;0")</f>
        <v>21</v>
      </c>
      <c r="F8" s="13" t="n">
        <f aca="false">IFERROR(E8/D8,0)</f>
        <v>0.807692307692308</v>
      </c>
      <c r="G8" s="18" t="n">
        <f aca="false">SUMIFS(Operações!$O$2:$O$320,Operações!$I$2:$I$320,"&gt;="&amp;$B8,Operações!$I$2:$I$320,"&lt;="&amp;$C8)</f>
        <v>7257.6</v>
      </c>
      <c r="H8" s="17" t="n">
        <f aca="false">G8/Premissas!$B$4</f>
        <v>0.072576</v>
      </c>
      <c r="I8" s="17" t="n">
        <f aca="false">I7+H8</f>
        <v>0.2742625</v>
      </c>
    </row>
    <row r="9" customFormat="false" ht="15" hidden="false" customHeight="false" outlineLevel="0" collapsed="false">
      <c r="A9" s="11" t="s">
        <v>307</v>
      </c>
      <c r="B9" s="15" t="n">
        <v>46174</v>
      </c>
      <c r="C9" s="15" t="n">
        <v>46203</v>
      </c>
      <c r="D9" s="16" t="n">
        <f aca="false">COUNTIFS(Operações!$I$2:$I$320,"&gt;="&amp;$B9,Operações!$I$2:$I$320,"&lt;="&amp;$C9)</f>
        <v>31</v>
      </c>
      <c r="E9" s="16" t="n">
        <f aca="false">COUNTIFS(Operações!$I$2:$I$320,"&gt;="&amp;$B9,Operações!$I$2:$I$320,"&lt;="&amp;$C9,Operações!$K$2:$K$320,"&gt;0")</f>
        <v>18</v>
      </c>
      <c r="F9" s="13" t="n">
        <f aca="false">IFERROR(E9/D9,0)</f>
        <v>0.580645161290323</v>
      </c>
      <c r="G9" s="18" t="n">
        <f aca="false">SUMIFS(Operações!$O$2:$O$320,Operações!$I$2:$I$320,"&gt;="&amp;$B9,Operações!$I$2:$I$320,"&lt;="&amp;$C9)</f>
        <v>3146.2</v>
      </c>
      <c r="H9" s="17" t="n">
        <f aca="false">G9/Premissas!$B$4</f>
        <v>0.031462</v>
      </c>
      <c r="I9" s="17" t="n">
        <f aca="false">I8+H9</f>
        <v>0.3057245</v>
      </c>
    </row>
    <row r="10" customFormat="false" ht="15" hidden="false" customHeight="false" outlineLevel="0" collapsed="false">
      <c r="A10" s="11" t="s">
        <v>308</v>
      </c>
      <c r="B10" s="15" t="n">
        <v>46204</v>
      </c>
      <c r="C10" s="15" t="n">
        <v>46234</v>
      </c>
      <c r="D10" s="16" t="n">
        <f aca="false">COUNTIFS(Operações!$I$2:$I$320,"&gt;="&amp;$B10,Operações!$I$2:$I$320,"&lt;="&amp;$C10)</f>
        <v>5</v>
      </c>
      <c r="E10" s="16" t="n">
        <f aca="false">COUNTIFS(Operações!$I$2:$I$320,"&gt;="&amp;$B10,Operações!$I$2:$I$320,"&lt;="&amp;$C10,Operações!$K$2:$K$320,"&gt;0")</f>
        <v>4</v>
      </c>
      <c r="F10" s="13" t="n">
        <f aca="false">IFERROR(E10/D10,0)</f>
        <v>0.8</v>
      </c>
      <c r="G10" s="18" t="n">
        <f aca="false">SUMIFS(Operações!$O$2:$O$320,Operações!$I$2:$I$320,"&gt;="&amp;$B10,Operações!$I$2:$I$320,"&lt;="&amp;$C10)</f>
        <v>5443.15</v>
      </c>
      <c r="H10" s="17" t="n">
        <f aca="false">G10/Premissas!$B$4</f>
        <v>0.0544315</v>
      </c>
      <c r="I10" s="17" t="n">
        <f aca="false">I9+H10</f>
        <v>0.360156</v>
      </c>
    </row>
    <row r="11" customFormat="false" ht="15" hidden="false" customHeight="false" outlineLevel="0" collapsed="false">
      <c r="A11" s="11" t="s">
        <v>309</v>
      </c>
      <c r="B11" s="15" t="n">
        <v>46235</v>
      </c>
      <c r="C11" s="15" t="n">
        <v>46265</v>
      </c>
      <c r="D11" s="16" t="n">
        <f aca="false">COUNTIFS(Operações!$I$2:$I$320,"&gt;="&amp;$B11,Operações!$I$2:$I$320,"&lt;="&amp;$C11)</f>
        <v>15</v>
      </c>
      <c r="E11" s="16" t="n">
        <f aca="false">COUNTIFS(Operações!$I$2:$I$320,"&gt;="&amp;$B11,Operações!$I$2:$I$320,"&lt;="&amp;$C11,Operações!$K$2:$K$320,"&gt;0")</f>
        <v>10</v>
      </c>
      <c r="F11" s="13" t="n">
        <f aca="false">IFERROR(E11/D11,0)</f>
        <v>0.666666666666667</v>
      </c>
      <c r="G11" s="18" t="n">
        <f aca="false">SUMIFS(Operações!$O$2:$O$320,Operações!$I$2:$I$320,"&gt;="&amp;$B11,Operações!$I$2:$I$320,"&lt;="&amp;$C11)</f>
        <v>1307.75</v>
      </c>
      <c r="H11" s="17" t="n">
        <f aca="false">G11/Premissas!$B$4</f>
        <v>0.0130775</v>
      </c>
      <c r="I11" s="17" t="n">
        <f aca="false">I10+H11</f>
        <v>0.3732335</v>
      </c>
    </row>
    <row r="12" customFormat="false" ht="15" hidden="false" customHeight="false" outlineLevel="0" collapsed="false">
      <c r="A12" s="11" t="s">
        <v>310</v>
      </c>
      <c r="B12" s="15" t="n">
        <v>46266</v>
      </c>
      <c r="C12" s="15" t="n">
        <v>46295</v>
      </c>
      <c r="D12" s="16" t="n">
        <f aca="false">COUNTIFS(Operações!$I$2:$I$320,"&gt;="&amp;$B12,Operações!$I$2:$I$320,"&lt;="&amp;$C12)</f>
        <v>30</v>
      </c>
      <c r="E12" s="16" t="n">
        <f aca="false">COUNTIFS(Operações!$I$2:$I$320,"&gt;="&amp;$B12,Operações!$I$2:$I$320,"&lt;="&amp;$C12,Operações!$K$2:$K$320,"&gt;0")</f>
        <v>11</v>
      </c>
      <c r="F12" s="13" t="n">
        <f aca="false">IFERROR(E12/D12,0)</f>
        <v>0.366666666666667</v>
      </c>
      <c r="G12" s="18" t="n">
        <f aca="false">SUMIFS(Operações!$O$2:$O$320,Operações!$I$2:$I$320,"&gt;="&amp;$B12,Operações!$I$2:$I$320,"&lt;="&amp;$C12)</f>
        <v>-3538.75</v>
      </c>
      <c r="H12" s="17" t="n">
        <f aca="false">G12/Premissas!$B$4</f>
        <v>-0.0353875</v>
      </c>
      <c r="I12" s="17" t="n">
        <f aca="false">I11+H12</f>
        <v>0.337846</v>
      </c>
    </row>
    <row r="13" customFormat="false" ht="15" hidden="false" customHeight="false" outlineLevel="0" collapsed="false">
      <c r="A13" s="3" t="s">
        <v>311</v>
      </c>
      <c r="D13" s="20" t="n">
        <f aca="false">SUM(D4:D12)</f>
        <v>319</v>
      </c>
      <c r="E13" s="20" t="n">
        <f aca="false">SUM(E4:E12)</f>
        <v>181</v>
      </c>
      <c r="F13" s="21" t="n">
        <f aca="false">IFERROR(E13/D13,0)</f>
        <v>0.567398119122257</v>
      </c>
      <c r="G13" s="22" t="n">
        <f aca="false">SUM(G4:G12)</f>
        <v>33784.6</v>
      </c>
      <c r="H13" s="23" t="n">
        <f aca="false">G13/Premissas!$B$4</f>
        <v>0.337846</v>
      </c>
    </row>
    <row r="15" customFormat="false" ht="15" hidden="false" customHeight="false" outlineLevel="0" collapsed="false">
      <c r="A15" s="9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9" t="s">
        <v>313</v>
      </c>
    </row>
    <row r="3" customFormat="false" ht="15" hidden="false" customHeight="false" outlineLevel="0" collapsed="false">
      <c r="A3" s="6" t="s">
        <v>5</v>
      </c>
      <c r="B3" s="6" t="s">
        <v>43</v>
      </c>
      <c r="C3" s="6" t="s">
        <v>296</v>
      </c>
      <c r="D3" s="6" t="s">
        <v>297</v>
      </c>
      <c r="E3" s="6" t="s">
        <v>298</v>
      </c>
      <c r="F3" s="6" t="s">
        <v>314</v>
      </c>
      <c r="G3" s="6" t="s">
        <v>45</v>
      </c>
      <c r="H3" s="6" t="s">
        <v>315</v>
      </c>
    </row>
    <row r="4" customFormat="false" ht="15" hidden="false" customHeight="false" outlineLevel="0" collapsed="false">
      <c r="A4" s="3" t="s">
        <v>10</v>
      </c>
      <c r="B4" s="24" t="n">
        <f aca="false">IFERROR(INDEX(Premissas!$C$8:$C$15,MATCH($A4,Premissas!$A$8:$A$15,0)),0)</f>
        <v>0.1</v>
      </c>
      <c r="C4" s="25" t="n">
        <f aca="false">COUNTIF(Operações!$L$2:$L$320,$A4)</f>
        <v>75</v>
      </c>
      <c r="D4" s="25" t="n">
        <f aca="false">COUNTIFS(Operações!$L$2:$L$320,$A4,Operações!$K$2:$K$320,"&gt;0")</f>
        <v>40</v>
      </c>
      <c r="E4" s="24" t="n">
        <f aca="false">IFERROR(D4/C4,0)</f>
        <v>0.533333333333333</v>
      </c>
      <c r="F4" s="26" t="n">
        <f aca="false">IFERROR(SUMIF(Operações!$L$2:$L$320,$A4,Operações!$K$2:$K$320)/C4,0)</f>
        <v>0.0232186666666667</v>
      </c>
      <c r="G4" s="27" t="n">
        <f aca="false">SUMIF(Operações!$L$2:$L$320,$A4,Operações!$O$2:$O$320)</f>
        <v>17414</v>
      </c>
      <c r="H4" s="24" t="n">
        <f aca="false">IFERROR(G4/$G$11,0)</f>
        <v>0.515441946922562</v>
      </c>
    </row>
    <row r="5" customFormat="false" ht="15" hidden="false" customHeight="false" outlineLevel="0" collapsed="false">
      <c r="A5" s="3" t="s">
        <v>20</v>
      </c>
      <c r="B5" s="24" t="n">
        <f aca="false">IFERROR(INDEX(Premissas!$C$8:$C$15,MATCH($A5,Premissas!$A$8:$A$15,0)),0)</f>
        <v>0.035</v>
      </c>
      <c r="C5" s="25" t="n">
        <f aca="false">COUNTIF(Operações!$L$2:$L$320,$A5)</f>
        <v>175</v>
      </c>
      <c r="D5" s="25" t="n">
        <f aca="false">COUNTIFS(Operações!$L$2:$L$320,$A5,Operações!$K$2:$K$320,"&gt;0")</f>
        <v>98</v>
      </c>
      <c r="E5" s="24" t="n">
        <f aca="false">IFERROR(D5/C5,0)</f>
        <v>0.56</v>
      </c>
      <c r="F5" s="26" t="n">
        <f aca="false">IFERROR(SUMIF(Operações!$L$2:$L$320,$A5,Operações!$K$2:$K$320)/C5,0)</f>
        <v>0.0125394285714286</v>
      </c>
      <c r="G5" s="27" t="n">
        <f aca="false">SUMIF(Operações!$L$2:$L$320,$A5,Operações!$O$2:$O$320)</f>
        <v>7680.4</v>
      </c>
      <c r="H5" s="24" t="n">
        <f aca="false">IFERROR(G5/$G$11,0)</f>
        <v>0.227334347602162</v>
      </c>
    </row>
    <row r="6" customFormat="false" ht="15" hidden="false" customHeight="false" outlineLevel="0" collapsed="false">
      <c r="A6" s="3" t="s">
        <v>8</v>
      </c>
      <c r="B6" s="24" t="n">
        <f aca="false">IFERROR(INDEX(Premissas!$C$8:$C$15,MATCH($A6,Premissas!$A$8:$A$15,0)),0)</f>
        <v>0.14</v>
      </c>
      <c r="C6" s="25" t="n">
        <f aca="false">COUNTIF(Operações!$L$2:$L$320,$A6)</f>
        <v>16</v>
      </c>
      <c r="D6" s="25" t="n">
        <f aca="false">COUNTIFS(Operações!$L$2:$L$320,$A6,Operações!$K$2:$K$320,"&gt;0")</f>
        <v>8</v>
      </c>
      <c r="E6" s="24" t="n">
        <f aca="false">IFERROR(D6/C6,0)</f>
        <v>0.5</v>
      </c>
      <c r="F6" s="26" t="n">
        <f aca="false">IFERROR(SUMIF(Operações!$L$2:$L$320,$A6,Operações!$K$2:$K$320)/C6,0)</f>
        <v>0.012575</v>
      </c>
      <c r="G6" s="27" t="n">
        <f aca="false">SUMIF(Operações!$L$2:$L$320,$A6,Operações!$O$2:$O$320)</f>
        <v>2816.8</v>
      </c>
      <c r="H6" s="24" t="n">
        <f aca="false">IFERROR(G6/$G$11,0)</f>
        <v>0.0833752656535818</v>
      </c>
    </row>
    <row r="7" customFormat="false" ht="15" hidden="false" customHeight="false" outlineLevel="0" collapsed="false">
      <c r="A7" s="3" t="s">
        <v>14</v>
      </c>
      <c r="B7" s="24" t="n">
        <f aca="false">IFERROR(INDEX(Premissas!$C$8:$C$15,MATCH($A7,Premissas!$A$8:$A$15,0)),0)</f>
        <v>0.08</v>
      </c>
      <c r="C7" s="25" t="n">
        <f aca="false">COUNTIF(Operações!$L$2:$L$320,$A7)</f>
        <v>16</v>
      </c>
      <c r="D7" s="25" t="n">
        <f aca="false">COUNTIFS(Operações!$L$2:$L$320,$A7,Operações!$K$2:$K$320,"&gt;0")</f>
        <v>11</v>
      </c>
      <c r="E7" s="24" t="n">
        <f aca="false">IFERROR(D7/C7,0)</f>
        <v>0.6875</v>
      </c>
      <c r="F7" s="26" t="n">
        <f aca="false">IFERROR(SUMIF(Operações!$L$2:$L$320,$A7,Operações!$K$2:$K$320)/C7,0)</f>
        <v>0.02170625</v>
      </c>
      <c r="G7" s="27" t="n">
        <f aca="false">SUMIF(Operações!$L$2:$L$320,$A7,Operações!$O$2:$O$320)</f>
        <v>2778.4</v>
      </c>
      <c r="H7" s="24" t="n">
        <f aca="false">IFERROR(G7/$G$11,0)</f>
        <v>0.0822386531141408</v>
      </c>
    </row>
    <row r="8" customFormat="false" ht="15" hidden="false" customHeight="false" outlineLevel="0" collapsed="false">
      <c r="A8" s="3" t="s">
        <v>16</v>
      </c>
      <c r="B8" s="24" t="n">
        <f aca="false">IFERROR(INDEX(Premissas!$C$8:$C$15,MATCH($A8,Premissas!$A$8:$A$15,0)),0)</f>
        <v>0.07</v>
      </c>
      <c r="C8" s="25" t="n">
        <f aca="false">COUNTIF(Operações!$L$2:$L$320,$A8)</f>
        <v>6</v>
      </c>
      <c r="D8" s="25" t="n">
        <f aca="false">COUNTIFS(Operações!$L$2:$L$320,$A8,Operações!$K$2:$K$320,"&gt;0")</f>
        <v>6</v>
      </c>
      <c r="E8" s="24" t="n">
        <f aca="false">IFERROR(D8/C8,0)</f>
        <v>1</v>
      </c>
      <c r="F8" s="26" t="n">
        <f aca="false">IFERROR(SUMIF(Operações!$L$2:$L$320,$A8,Operações!$K$2:$K$320)/C8,0)</f>
        <v>0.0449333333333333</v>
      </c>
      <c r="G8" s="27" t="n">
        <f aca="false">SUMIF(Operações!$L$2:$L$320,$A8,Operações!$O$2:$O$320)</f>
        <v>1887.2</v>
      </c>
      <c r="H8" s="24" t="n">
        <f aca="false">IFERROR(G8/$G$11,0)</f>
        <v>0.0558597704279465</v>
      </c>
    </row>
    <row r="9" customFormat="false" ht="15" hidden="false" customHeight="false" outlineLevel="0" collapsed="false">
      <c r="A9" s="3" t="s">
        <v>18</v>
      </c>
      <c r="B9" s="24" t="n">
        <f aca="false">IFERROR(INDEX(Premissas!$C$8:$C$15,MATCH($A9,Premissas!$A$8:$A$15,0)),0)</f>
        <v>0.06</v>
      </c>
      <c r="C9" s="25" t="n">
        <f aca="false">COUNTIF(Operações!$L$2:$L$320,$A9)</f>
        <v>10</v>
      </c>
      <c r="D9" s="25" t="n">
        <f aca="false">COUNTIFS(Operações!$L$2:$L$320,$A9,Operações!$K$2:$K$320,"&gt;0")</f>
        <v>7</v>
      </c>
      <c r="E9" s="24" t="n">
        <f aca="false">IFERROR(D9/C9,0)</f>
        <v>0.7</v>
      </c>
      <c r="F9" s="26" t="n">
        <f aca="false">IFERROR(SUMIF(Operações!$L$2:$L$320,$A9,Operações!$K$2:$K$320)/C9,0)</f>
        <v>0.02013</v>
      </c>
      <c r="G9" s="27" t="n">
        <f aca="false">SUMIF(Operações!$L$2:$L$320,$A9,Operações!$O$2:$O$320)</f>
        <v>1207.8</v>
      </c>
      <c r="H9" s="24" t="n">
        <f aca="false">IFERROR(G9/$G$11,0)</f>
        <v>0.0357500162796067</v>
      </c>
    </row>
    <row r="10" customFormat="false" ht="15" hidden="false" customHeight="false" outlineLevel="0" collapsed="false">
      <c r="A10" s="3" t="s">
        <v>22</v>
      </c>
      <c r="B10" s="24" t="n">
        <f aca="false">IFERROR(INDEX(Premissas!$C$8:$C$15,MATCH($A10,Premissas!$A$8:$A$15,0)),0)</f>
        <v>0</v>
      </c>
      <c r="C10" s="25" t="n">
        <f aca="false">COUNTIF(Operações!$L$2:$L$320,$A10)</f>
        <v>21</v>
      </c>
      <c r="D10" s="25" t="n">
        <f aca="false">COUNTIFS(Operações!$L$2:$L$320,$A10,Operações!$K$2:$K$320,"&gt;0")</f>
        <v>11</v>
      </c>
      <c r="E10" s="24" t="n">
        <f aca="false">IFERROR(D10/C10,0)</f>
        <v>0.523809523809524</v>
      </c>
      <c r="F10" s="26" t="n">
        <f aca="false">IFERROR(SUMIF(Operações!$L$2:$L$320,$A10,Operações!$K$2:$K$320)/C10,0)</f>
        <v>0.00422380952380952</v>
      </c>
      <c r="G10" s="27" t="n">
        <f aca="false">SUMIF(Operações!$L$2:$L$320,$A10,Operações!$O$2:$O$320)</f>
        <v>0</v>
      </c>
      <c r="H10" s="24" t="n">
        <f aca="false">IFERROR(G10/$G$11,0)</f>
        <v>0</v>
      </c>
    </row>
    <row r="11" customFormat="false" ht="15" hidden="false" customHeight="false" outlineLevel="0" collapsed="false">
      <c r="A11" s="3" t="s">
        <v>311</v>
      </c>
      <c r="C11" s="20" t="n">
        <f aca="false">SUM(C4:C10)</f>
        <v>319</v>
      </c>
      <c r="G11" s="22" t="n">
        <f aca="false">SUM(G4:G10)</f>
        <v>33784.6</v>
      </c>
    </row>
    <row r="13" customFormat="false" ht="15" hidden="false" customHeight="false" outlineLevel="0" collapsed="false">
      <c r="A13" s="9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9" t="s">
        <v>317</v>
      </c>
    </row>
    <row r="3" customFormat="false" ht="15" hidden="false" customHeight="false" outlineLevel="0" collapsed="false">
      <c r="A3" s="11" t="s">
        <v>318</v>
      </c>
    </row>
    <row r="7" customFormat="false" ht="15" hidden="false" customHeight="false" outlineLevel="0" collapsed="false">
      <c r="A7" s="6" t="s">
        <v>319</v>
      </c>
      <c r="B7" s="6" t="s">
        <v>320</v>
      </c>
      <c r="C7" s="6" t="s">
        <v>299</v>
      </c>
      <c r="D7" s="6" t="s">
        <v>300</v>
      </c>
    </row>
    <row r="8" customFormat="false" ht="15" hidden="false" customHeight="false" outlineLevel="0" collapsed="false">
      <c r="A8" s="11" t="s">
        <v>321</v>
      </c>
      <c r="B8" s="11" t="s">
        <v>322</v>
      </c>
      <c r="C8" s="18" t="n">
        <f aca="false">SUM(Operações!$O$2:$O$320)</f>
        <v>33784.6</v>
      </c>
      <c r="D8" s="17" t="n">
        <f aca="false">C8/Premissas!$B$4</f>
        <v>0.337846</v>
      </c>
    </row>
    <row r="9" customFormat="false" ht="15" hidden="false" customHeight="false" outlineLevel="0" collapsed="false">
      <c r="A9" s="11" t="s">
        <v>323</v>
      </c>
      <c r="B9" s="11" t="s">
        <v>324</v>
      </c>
      <c r="C9" s="18" t="n">
        <f aca="false">SUMIF(Operações!$C$2:$C$320,"&lt;&gt;sem etiqueta",Operações!$O$2:$O$320)+SUMIF(Operações!$C$2:$C$320,"sem etiqueta",Operações!$K$2:$K$320)*Premissas!$B$4*0.035</f>
        <v>30715.75</v>
      </c>
      <c r="D9" s="17" t="n">
        <f aca="false">C9/Premissas!$B$4</f>
        <v>0.3071575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2026-10-20T13:20:10Z</dcterms:created>
  <dc:creator>openpyxl</dc:creator>
  <dc:description/>
  <dc:language>en-US</dc:language>
  <cp:lastModifiedBy/>
  <dcterms:modified xsi:type="dcterms:W3CDTF">2026-10-20T13:20:10Z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